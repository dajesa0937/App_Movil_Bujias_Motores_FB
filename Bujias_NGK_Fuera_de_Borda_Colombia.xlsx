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sala\Desktop\PROYECTOS\App_Movil_Bujias_Motores_FB\"/>
    </mc:Choice>
  </mc:AlternateContent>
  <xr:revisionPtr revIDLastSave="0" documentId="13_ncr:1_{E8DD0014-1805-4779-AE38-1E2A18D11FB9}" xr6:coauthVersionLast="47" xr6:coauthVersionMax="47" xr10:uidLastSave="{00000000-0000-0000-0000-000000000000}"/>
  <bookViews>
    <workbookView xWindow="20370" yWindow="-120" windowWidth="20730" windowHeight="11040" tabRatio="500" firstSheet="4" activeTab="6" xr2:uid="{00000000-000D-0000-FFFF-FFFF00000000}"/>
  </bookViews>
  <sheets>
    <sheet name="Inicio" sheetId="1" r:id="rId1"/>
    <sheet name="Informe" sheetId="2" r:id="rId2"/>
    <sheet name="Plan de ventas" sheetId="3" r:id="rId3"/>
    <sheet name="Consulta" sheetId="4" r:id="rId4"/>
    <sheet name="Catálogo" sheetId="5" r:id="rId5"/>
    <sheet name="Cotizador" sheetId="6" r:id="rId6"/>
    <sheet name="Precios y Stock" sheetId="7" r:id="rId7"/>
    <sheet name="Seguimiento" sheetId="8" r:id="rId8"/>
    <sheet name="Parámetros" sheetId="9" r:id="rId9"/>
  </sheets>
  <definedNames>
    <definedName name="_xlnm._FilterDatabase" localSheetId="4" hidden="1">Catálogo!$A$4:$L$126</definedName>
    <definedName name="_xlnm._FilterDatabase" localSheetId="6" hidden="1">'Precios y Stock'!$A$4:$L$56</definedName>
    <definedName name="Acuáticas">Catálogo!$B$111:$B$126</definedName>
    <definedName name="Mercury">Catálogo!$B$65:$B$90</definedName>
    <definedName name="Parsun">Catálogo!$B$91:$B$110</definedName>
    <definedName name="Suzuki">Catálogo!$B$5:$B$36</definedName>
    <definedName name="_xlnm.Print_Titles" localSheetId="4">Catálogo!$4:$4</definedName>
    <definedName name="Yamaha">Catálogo!$B$37:$B$64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4" i="8" l="1"/>
  <c r="K34" i="8"/>
  <c r="I34" i="8"/>
  <c r="J34" i="8" s="1"/>
  <c r="L33" i="8"/>
  <c r="K33" i="8"/>
  <c r="I33" i="8"/>
  <c r="J33" i="8" s="1"/>
  <c r="L32" i="8"/>
  <c r="K32" i="8"/>
  <c r="J32" i="8"/>
  <c r="I32" i="8"/>
  <c r="L31" i="8"/>
  <c r="K31" i="8"/>
  <c r="I31" i="8"/>
  <c r="J31" i="8" s="1"/>
  <c r="L30" i="8"/>
  <c r="K30" i="8"/>
  <c r="J30" i="8"/>
  <c r="I30" i="8"/>
  <c r="L29" i="8"/>
  <c r="K29" i="8"/>
  <c r="I29" i="8"/>
  <c r="J29" i="8" s="1"/>
  <c r="L28" i="8"/>
  <c r="K28" i="8"/>
  <c r="J28" i="8"/>
  <c r="I28" i="8"/>
  <c r="L27" i="8"/>
  <c r="K27" i="8"/>
  <c r="I27" i="8"/>
  <c r="J27" i="8" s="1"/>
  <c r="L26" i="8"/>
  <c r="K26" i="8"/>
  <c r="J26" i="8"/>
  <c r="I26" i="8"/>
  <c r="L25" i="8"/>
  <c r="K25" i="8"/>
  <c r="I25" i="8"/>
  <c r="J25" i="8" s="1"/>
  <c r="L24" i="8"/>
  <c r="K24" i="8"/>
  <c r="J24" i="8"/>
  <c r="I24" i="8"/>
  <c r="L23" i="8"/>
  <c r="K23" i="8"/>
  <c r="I23" i="8"/>
  <c r="J23" i="8" s="1"/>
  <c r="L22" i="8"/>
  <c r="K22" i="8"/>
  <c r="J22" i="8"/>
  <c r="I22" i="8"/>
  <c r="L21" i="8"/>
  <c r="K21" i="8"/>
  <c r="I21" i="8"/>
  <c r="J21" i="8" s="1"/>
  <c r="L20" i="8"/>
  <c r="K20" i="8"/>
  <c r="J20" i="8"/>
  <c r="I20" i="8"/>
  <c r="L19" i="8"/>
  <c r="K19" i="8"/>
  <c r="I19" i="8"/>
  <c r="J19" i="8" s="1"/>
  <c r="L18" i="8"/>
  <c r="K18" i="8"/>
  <c r="J18" i="8"/>
  <c r="I18" i="8"/>
  <c r="L17" i="8"/>
  <c r="K17" i="8"/>
  <c r="I17" i="8"/>
  <c r="J17" i="8" s="1"/>
  <c r="L16" i="8"/>
  <c r="K16" i="8"/>
  <c r="J16" i="8"/>
  <c r="I16" i="8"/>
  <c r="L15" i="8"/>
  <c r="K15" i="8"/>
  <c r="I15" i="8"/>
  <c r="J15" i="8" s="1"/>
  <c r="L14" i="8"/>
  <c r="K14" i="8"/>
  <c r="J14" i="8"/>
  <c r="I14" i="8"/>
  <c r="L13" i="8"/>
  <c r="K13" i="8"/>
  <c r="I13" i="8"/>
  <c r="J13" i="8" s="1"/>
  <c r="L12" i="8"/>
  <c r="K12" i="8"/>
  <c r="J12" i="8"/>
  <c r="I12" i="8"/>
  <c r="L11" i="8"/>
  <c r="K11" i="8"/>
  <c r="I11" i="8"/>
  <c r="J11" i="8" s="1"/>
  <c r="L10" i="8"/>
  <c r="K10" i="8"/>
  <c r="J10" i="8"/>
  <c r="I10" i="8"/>
  <c r="L9" i="8"/>
  <c r="K9" i="8"/>
  <c r="I9" i="8"/>
  <c r="J9" i="8" s="1"/>
  <c r="L8" i="8"/>
  <c r="K8" i="8"/>
  <c r="J8" i="8"/>
  <c r="I8" i="8"/>
  <c r="L7" i="8"/>
  <c r="K7" i="8"/>
  <c r="I7" i="8"/>
  <c r="J7" i="8" s="1"/>
  <c r="L6" i="8"/>
  <c r="K6" i="8"/>
  <c r="J6" i="8"/>
  <c r="I6" i="8"/>
  <c r="I5" i="8"/>
  <c r="J5" i="8" s="1"/>
  <c r="K56" i="7"/>
  <c r="G56" i="7"/>
  <c r="D56" i="7"/>
  <c r="C56" i="7"/>
  <c r="K55" i="7"/>
  <c r="G55" i="7"/>
  <c r="D55" i="7"/>
  <c r="C55" i="7"/>
  <c r="K54" i="7"/>
  <c r="G54" i="7"/>
  <c r="D54" i="7"/>
  <c r="C54" i="7"/>
  <c r="K53" i="7"/>
  <c r="G53" i="7"/>
  <c r="D53" i="7"/>
  <c r="C53" i="7"/>
  <c r="K52" i="7"/>
  <c r="G52" i="7"/>
  <c r="D52" i="7"/>
  <c r="C52" i="7"/>
  <c r="K51" i="7"/>
  <c r="G51" i="7"/>
  <c r="D51" i="7"/>
  <c r="C51" i="7"/>
  <c r="K50" i="7"/>
  <c r="G50" i="7"/>
  <c r="D50" i="7"/>
  <c r="C50" i="7"/>
  <c r="K49" i="7"/>
  <c r="G49" i="7"/>
  <c r="D49" i="7"/>
  <c r="C49" i="7"/>
  <c r="K48" i="7"/>
  <c r="G48" i="7"/>
  <c r="D48" i="7"/>
  <c r="C48" i="7"/>
  <c r="K47" i="7"/>
  <c r="G47" i="7"/>
  <c r="D47" i="7"/>
  <c r="C47" i="7"/>
  <c r="K46" i="7"/>
  <c r="G46" i="7"/>
  <c r="D46" i="7"/>
  <c r="C46" i="7"/>
  <c r="K45" i="7"/>
  <c r="G45" i="7"/>
  <c r="D45" i="7"/>
  <c r="C45" i="7"/>
  <c r="K44" i="7"/>
  <c r="G44" i="7"/>
  <c r="D44" i="7"/>
  <c r="C44" i="7"/>
  <c r="K43" i="7"/>
  <c r="G43" i="7"/>
  <c r="D43" i="7"/>
  <c r="C43" i="7"/>
  <c r="K42" i="7"/>
  <c r="G42" i="7"/>
  <c r="D42" i="7"/>
  <c r="C42" i="7"/>
  <c r="K41" i="7"/>
  <c r="G41" i="7"/>
  <c r="D41" i="7"/>
  <c r="C41" i="7"/>
  <c r="K40" i="7"/>
  <c r="G40" i="7"/>
  <c r="D40" i="7"/>
  <c r="C40" i="7"/>
  <c r="K39" i="7"/>
  <c r="G39" i="7"/>
  <c r="D39" i="7"/>
  <c r="C39" i="7"/>
  <c r="K38" i="7"/>
  <c r="G38" i="7"/>
  <c r="D38" i="7"/>
  <c r="C38" i="7"/>
  <c r="K37" i="7"/>
  <c r="G37" i="7"/>
  <c r="D37" i="7"/>
  <c r="C37" i="7"/>
  <c r="K36" i="7"/>
  <c r="G36" i="7"/>
  <c r="D36" i="7"/>
  <c r="C36" i="7"/>
  <c r="K35" i="7"/>
  <c r="G35" i="7"/>
  <c r="D35" i="7"/>
  <c r="C35" i="7"/>
  <c r="K34" i="7"/>
  <c r="G34" i="7"/>
  <c r="D34" i="7"/>
  <c r="C34" i="7"/>
  <c r="K33" i="7"/>
  <c r="G33" i="7"/>
  <c r="D33" i="7"/>
  <c r="C33" i="7"/>
  <c r="K32" i="7"/>
  <c r="G32" i="7"/>
  <c r="D32" i="7"/>
  <c r="C32" i="7"/>
  <c r="K31" i="7"/>
  <c r="G31" i="7"/>
  <c r="D31" i="7"/>
  <c r="C31" i="7"/>
  <c r="K30" i="7"/>
  <c r="G30" i="7"/>
  <c r="D30" i="7"/>
  <c r="C30" i="7"/>
  <c r="K29" i="7"/>
  <c r="G29" i="7"/>
  <c r="D29" i="7"/>
  <c r="C29" i="7"/>
  <c r="K28" i="7"/>
  <c r="G28" i="7"/>
  <c r="D28" i="7"/>
  <c r="C28" i="7"/>
  <c r="K27" i="7"/>
  <c r="G27" i="7"/>
  <c r="D27" i="7"/>
  <c r="C27" i="7"/>
  <c r="K26" i="7"/>
  <c r="G26" i="7"/>
  <c r="D26" i="7"/>
  <c r="C26" i="7"/>
  <c r="K25" i="7"/>
  <c r="G25" i="7"/>
  <c r="D25" i="7"/>
  <c r="C25" i="7"/>
  <c r="K24" i="7"/>
  <c r="G24" i="7"/>
  <c r="D24" i="7"/>
  <c r="C24" i="7"/>
  <c r="K23" i="7"/>
  <c r="G23" i="7"/>
  <c r="D23" i="7"/>
  <c r="C23" i="7"/>
  <c r="K22" i="7"/>
  <c r="G22" i="7"/>
  <c r="D22" i="7"/>
  <c r="C22" i="7"/>
  <c r="K21" i="7"/>
  <c r="G21" i="7"/>
  <c r="D21" i="7"/>
  <c r="C21" i="7"/>
  <c r="K20" i="7"/>
  <c r="G20" i="7"/>
  <c r="D20" i="7"/>
  <c r="C20" i="7"/>
  <c r="K19" i="7"/>
  <c r="G19" i="7"/>
  <c r="D19" i="7"/>
  <c r="C19" i="7"/>
  <c r="K18" i="7"/>
  <c r="G18" i="7"/>
  <c r="D18" i="7"/>
  <c r="C18" i="7"/>
  <c r="K17" i="7"/>
  <c r="G17" i="7"/>
  <c r="D17" i="7"/>
  <c r="C17" i="7"/>
  <c r="K16" i="7"/>
  <c r="G16" i="7"/>
  <c r="D16" i="7"/>
  <c r="C16" i="7"/>
  <c r="K15" i="7"/>
  <c r="G15" i="7"/>
  <c r="D15" i="7"/>
  <c r="C15" i="7"/>
  <c r="K14" i="7"/>
  <c r="G14" i="7"/>
  <c r="D14" i="7"/>
  <c r="C14" i="7"/>
  <c r="K13" i="7"/>
  <c r="G13" i="7"/>
  <c r="D13" i="7"/>
  <c r="C13" i="7"/>
  <c r="K12" i="7"/>
  <c r="G12" i="7"/>
  <c r="D12" i="7"/>
  <c r="C12" i="7"/>
  <c r="K11" i="7"/>
  <c r="G11" i="7"/>
  <c r="D11" i="7"/>
  <c r="C11" i="7"/>
  <c r="K10" i="7"/>
  <c r="G10" i="7"/>
  <c r="D10" i="7"/>
  <c r="C10" i="7"/>
  <c r="K9" i="7"/>
  <c r="G9" i="7"/>
  <c r="D9" i="7"/>
  <c r="C9" i="7"/>
  <c r="K8" i="7"/>
  <c r="G8" i="7"/>
  <c r="D8" i="7"/>
  <c r="C8" i="7"/>
  <c r="K7" i="7"/>
  <c r="G7" i="7"/>
  <c r="D7" i="7"/>
  <c r="C7" i="7"/>
  <c r="K6" i="7"/>
  <c r="G6" i="7"/>
  <c r="D6" i="7"/>
  <c r="C6" i="7"/>
  <c r="G5" i="7"/>
  <c r="D5" i="7"/>
  <c r="C5" i="7"/>
  <c r="K27" i="6"/>
  <c r="O23" i="6"/>
  <c r="M23" i="6"/>
  <c r="H23" i="6"/>
  <c r="E23" i="6"/>
  <c r="D23" i="6"/>
  <c r="I23" i="6" s="1"/>
  <c r="K23" i="6" s="1"/>
  <c r="L23" i="6" s="1"/>
  <c r="O22" i="6"/>
  <c r="M22" i="6"/>
  <c r="H22" i="6"/>
  <c r="E22" i="6"/>
  <c r="D22" i="6"/>
  <c r="I22" i="6" s="1"/>
  <c r="K22" i="6" s="1"/>
  <c r="L22" i="6" s="1"/>
  <c r="O21" i="6"/>
  <c r="M21" i="6"/>
  <c r="H21" i="6"/>
  <c r="E21" i="6"/>
  <c r="D21" i="6"/>
  <c r="I21" i="6" s="1"/>
  <c r="K21" i="6" s="1"/>
  <c r="L21" i="6" s="1"/>
  <c r="O20" i="6"/>
  <c r="M20" i="6"/>
  <c r="H20" i="6"/>
  <c r="E20" i="6"/>
  <c r="D20" i="6"/>
  <c r="I20" i="6" s="1"/>
  <c r="K20" i="6" s="1"/>
  <c r="L20" i="6" s="1"/>
  <c r="O19" i="6"/>
  <c r="M19" i="6"/>
  <c r="H19" i="6"/>
  <c r="E19" i="6"/>
  <c r="D19" i="6"/>
  <c r="I19" i="6" s="1"/>
  <c r="K19" i="6" s="1"/>
  <c r="L19" i="6" s="1"/>
  <c r="O18" i="6"/>
  <c r="M18" i="6"/>
  <c r="H18" i="6"/>
  <c r="E18" i="6"/>
  <c r="D18" i="6"/>
  <c r="I18" i="6" s="1"/>
  <c r="K18" i="6" s="1"/>
  <c r="L18" i="6" s="1"/>
  <c r="O17" i="6"/>
  <c r="M17" i="6"/>
  <c r="H17" i="6"/>
  <c r="E17" i="6"/>
  <c r="D17" i="6"/>
  <c r="I17" i="6" s="1"/>
  <c r="K17" i="6" s="1"/>
  <c r="L17" i="6" s="1"/>
  <c r="O16" i="6"/>
  <c r="M16" i="6"/>
  <c r="H16" i="6"/>
  <c r="E16" i="6"/>
  <c r="D16" i="6"/>
  <c r="I16" i="6" s="1"/>
  <c r="K16" i="6" s="1"/>
  <c r="L16" i="6" s="1"/>
  <c r="O15" i="6"/>
  <c r="M15" i="6"/>
  <c r="H15" i="6"/>
  <c r="E15" i="6"/>
  <c r="D15" i="6"/>
  <c r="I15" i="6" s="1"/>
  <c r="K15" i="6" s="1"/>
  <c r="L15" i="6" s="1"/>
  <c r="O14" i="6"/>
  <c r="M14" i="6"/>
  <c r="H14" i="6"/>
  <c r="E14" i="6"/>
  <c r="D14" i="6"/>
  <c r="I14" i="6" s="1"/>
  <c r="K14" i="6" s="1"/>
  <c r="L14" i="6" s="1"/>
  <c r="O13" i="6"/>
  <c r="M13" i="6"/>
  <c r="H13" i="6"/>
  <c r="E13" i="6"/>
  <c r="D13" i="6"/>
  <c r="I13" i="6" s="1"/>
  <c r="K13" i="6" s="1"/>
  <c r="L13" i="6" s="1"/>
  <c r="C6" i="6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C40" i="4" s="1"/>
  <c r="M11" i="5"/>
  <c r="N10" i="5"/>
  <c r="M10" i="5"/>
  <c r="N9" i="5"/>
  <c r="M9" i="5"/>
  <c r="N8" i="5"/>
  <c r="M8" i="5"/>
  <c r="H5" i="4" s="1"/>
  <c r="N7" i="5"/>
  <c r="C38" i="4" s="1"/>
  <c r="M7" i="5"/>
  <c r="N6" i="5"/>
  <c r="M6" i="5"/>
  <c r="N5" i="5"/>
  <c r="M5" i="5"/>
  <c r="C23" i="4"/>
  <c r="D23" i="3"/>
  <c r="D22" i="3"/>
  <c r="D20" i="3"/>
  <c r="D25" i="3" s="1"/>
  <c r="D26" i="3" s="1"/>
  <c r="H15" i="2"/>
  <c r="H14" i="2"/>
  <c r="F14" i="2"/>
  <c r="E14" i="2"/>
  <c r="D14" i="2"/>
  <c r="C14" i="2"/>
  <c r="G14" i="2" s="1"/>
  <c r="H13" i="2"/>
  <c r="G13" i="2"/>
  <c r="F13" i="2"/>
  <c r="E13" i="2"/>
  <c r="D13" i="2"/>
  <c r="C13" i="2"/>
  <c r="H12" i="2"/>
  <c r="G12" i="2"/>
  <c r="F12" i="2"/>
  <c r="E12" i="2"/>
  <c r="E15" i="2" s="1"/>
  <c r="D12" i="2"/>
  <c r="C12" i="2"/>
  <c r="H11" i="2"/>
  <c r="F11" i="2"/>
  <c r="E11" i="2"/>
  <c r="D11" i="2"/>
  <c r="D15" i="2" s="1"/>
  <c r="C11" i="2"/>
  <c r="G11" i="2" s="1"/>
  <c r="H10" i="2"/>
  <c r="F10" i="2"/>
  <c r="E10" i="2"/>
  <c r="D10" i="2"/>
  <c r="C10" i="2"/>
  <c r="G10" i="2" s="1"/>
  <c r="H5" i="2"/>
  <c r="F5" i="2"/>
  <c r="D5" i="2"/>
  <c r="B5" i="2"/>
  <c r="C14" i="4" l="1"/>
  <c r="C13" i="4"/>
  <c r="C12" i="4"/>
  <c r="C11" i="4"/>
  <c r="C18" i="4"/>
  <c r="C10" i="4"/>
  <c r="C17" i="4"/>
  <c r="C16" i="4"/>
  <c r="C15" i="4"/>
  <c r="C9" i="4"/>
  <c r="C8" i="4"/>
  <c r="C19" i="4" s="1"/>
  <c r="C27" i="4"/>
  <c r="E34" i="4"/>
  <c r="E40" i="4"/>
  <c r="D27" i="4"/>
  <c r="C35" i="4"/>
  <c r="L7" i="7"/>
  <c r="E7" i="7"/>
  <c r="I7" i="7" s="1"/>
  <c r="J7" i="7" s="1"/>
  <c r="L11" i="7"/>
  <c r="E11" i="7"/>
  <c r="I11" i="7" s="1"/>
  <c r="J11" i="7" s="1"/>
  <c r="L15" i="7"/>
  <c r="E15" i="7"/>
  <c r="I15" i="7" s="1"/>
  <c r="J15" i="7" s="1"/>
  <c r="L17" i="7"/>
  <c r="E17" i="7"/>
  <c r="I17" i="7" s="1"/>
  <c r="J17" i="7" s="1"/>
  <c r="L21" i="7"/>
  <c r="E21" i="7"/>
  <c r="I21" i="7" s="1"/>
  <c r="J21" i="7" s="1"/>
  <c r="L23" i="7"/>
  <c r="E23" i="7"/>
  <c r="I23" i="7" s="1"/>
  <c r="J23" i="7" s="1"/>
  <c r="L25" i="7"/>
  <c r="E25" i="7"/>
  <c r="I25" i="7" s="1"/>
  <c r="J25" i="7" s="1"/>
  <c r="L27" i="7"/>
  <c r="E27" i="7"/>
  <c r="I27" i="7" s="1"/>
  <c r="J27" i="7" s="1"/>
  <c r="L29" i="7"/>
  <c r="E29" i="7"/>
  <c r="I29" i="7" s="1"/>
  <c r="J29" i="7" s="1"/>
  <c r="L31" i="7"/>
  <c r="E31" i="7"/>
  <c r="I31" i="7" s="1"/>
  <c r="J31" i="7" s="1"/>
  <c r="L33" i="7"/>
  <c r="E33" i="7"/>
  <c r="I33" i="7" s="1"/>
  <c r="J33" i="7" s="1"/>
  <c r="L35" i="7"/>
  <c r="E35" i="7"/>
  <c r="I35" i="7" s="1"/>
  <c r="J35" i="7" s="1"/>
  <c r="L37" i="7"/>
  <c r="E37" i="7"/>
  <c r="I37" i="7" s="1"/>
  <c r="J37" i="7" s="1"/>
  <c r="L39" i="7"/>
  <c r="E39" i="7"/>
  <c r="I39" i="7" s="1"/>
  <c r="J39" i="7" s="1"/>
  <c r="L41" i="7"/>
  <c r="E41" i="7"/>
  <c r="I41" i="7" s="1"/>
  <c r="J41" i="7" s="1"/>
  <c r="L43" i="7"/>
  <c r="E43" i="7"/>
  <c r="I43" i="7" s="1"/>
  <c r="J43" i="7" s="1"/>
  <c r="L45" i="7"/>
  <c r="L47" i="7"/>
  <c r="L49" i="7"/>
  <c r="L51" i="7"/>
  <c r="L53" i="7"/>
  <c r="L55" i="7"/>
  <c r="D29" i="4"/>
  <c r="D35" i="4"/>
  <c r="E39" i="4"/>
  <c r="L9" i="7"/>
  <c r="E9" i="7"/>
  <c r="I9" i="7" s="1"/>
  <c r="J9" i="7" s="1"/>
  <c r="L13" i="7"/>
  <c r="E13" i="7"/>
  <c r="I13" i="7" s="1"/>
  <c r="J13" i="7" s="1"/>
  <c r="L19" i="7"/>
  <c r="E19" i="7"/>
  <c r="I19" i="7" s="1"/>
  <c r="J19" i="7" s="1"/>
  <c r="F15" i="2"/>
  <c r="E29" i="4"/>
  <c r="D37" i="4"/>
  <c r="O12" i="6"/>
  <c r="L5" i="7"/>
  <c r="E5" i="7"/>
  <c r="I5" i="7" s="1"/>
  <c r="J5" i="7" s="1"/>
  <c r="C15" i="2"/>
  <c r="G15" i="2" s="1"/>
  <c r="C30" i="4"/>
  <c r="E37" i="4"/>
  <c r="D29" i="3"/>
  <c r="D28" i="3"/>
  <c r="D27" i="3"/>
  <c r="C32" i="4"/>
  <c r="D32" i="4"/>
  <c r="D31" i="4"/>
  <c r="E28" i="4"/>
  <c r="C26" i="4"/>
  <c r="E38" i="4"/>
  <c r="C36" i="4"/>
  <c r="D33" i="4"/>
  <c r="E30" i="4"/>
  <c r="C28" i="4"/>
  <c r="L8" i="7"/>
  <c r="E8" i="7"/>
  <c r="I8" i="7" s="1"/>
  <c r="J8" i="7" s="1"/>
  <c r="L12" i="7"/>
  <c r="E12" i="7"/>
  <c r="I12" i="7" s="1"/>
  <c r="J12" i="7" s="1"/>
  <c r="L14" i="7"/>
  <c r="E14" i="7"/>
  <c r="I14" i="7" s="1"/>
  <c r="J14" i="7" s="1"/>
  <c r="L16" i="7"/>
  <c r="E16" i="7"/>
  <c r="I16" i="7" s="1"/>
  <c r="J16" i="7" s="1"/>
  <c r="L18" i="7"/>
  <c r="E18" i="7"/>
  <c r="I18" i="7" s="1"/>
  <c r="J18" i="7" s="1"/>
  <c r="L20" i="7"/>
  <c r="E20" i="7"/>
  <c r="I20" i="7" s="1"/>
  <c r="J20" i="7" s="1"/>
  <c r="L22" i="7"/>
  <c r="E22" i="7"/>
  <c r="I22" i="7" s="1"/>
  <c r="J22" i="7" s="1"/>
  <c r="L24" i="7"/>
  <c r="E24" i="7"/>
  <c r="I24" i="7" s="1"/>
  <c r="J24" i="7" s="1"/>
  <c r="L26" i="7"/>
  <c r="E26" i="7"/>
  <c r="I26" i="7" s="1"/>
  <c r="J26" i="7" s="1"/>
  <c r="L28" i="7"/>
  <c r="E28" i="7"/>
  <c r="I28" i="7" s="1"/>
  <c r="J28" i="7" s="1"/>
  <c r="L30" i="7"/>
  <c r="E30" i="7"/>
  <c r="I30" i="7" s="1"/>
  <c r="J30" i="7" s="1"/>
  <c r="L32" i="7"/>
  <c r="E32" i="7"/>
  <c r="I32" i="7" s="1"/>
  <c r="J32" i="7" s="1"/>
  <c r="L34" i="7"/>
  <c r="E34" i="7"/>
  <c r="I34" i="7" s="1"/>
  <c r="J34" i="7" s="1"/>
  <c r="L36" i="7"/>
  <c r="E36" i="7"/>
  <c r="I36" i="7" s="1"/>
  <c r="J36" i="7" s="1"/>
  <c r="L38" i="7"/>
  <c r="E38" i="7"/>
  <c r="I38" i="7" s="1"/>
  <c r="J38" i="7" s="1"/>
  <c r="L40" i="7"/>
  <c r="E40" i="7"/>
  <c r="I40" i="7" s="1"/>
  <c r="J40" i="7" s="1"/>
  <c r="L42" i="7"/>
  <c r="E42" i="7"/>
  <c r="I42" i="7" s="1"/>
  <c r="J42" i="7" s="1"/>
  <c r="L44" i="7"/>
  <c r="L46" i="7"/>
  <c r="L48" i="7"/>
  <c r="L50" i="7"/>
  <c r="L52" i="7"/>
  <c r="L54" i="7"/>
  <c r="L56" i="7"/>
  <c r="L6" i="7"/>
  <c r="E6" i="7"/>
  <c r="I6" i="7" s="1"/>
  <c r="J6" i="7" s="1"/>
  <c r="L10" i="7"/>
  <c r="E10" i="7"/>
  <c r="I10" i="7" s="1"/>
  <c r="J10" i="7" s="1"/>
  <c r="E26" i="4"/>
  <c r="E32" i="4"/>
  <c r="D40" i="4"/>
  <c r="E44" i="7"/>
  <c r="I44" i="7" s="1"/>
  <c r="J44" i="7" s="1"/>
  <c r="E45" i="7"/>
  <c r="I45" i="7" s="1"/>
  <c r="J45" i="7" s="1"/>
  <c r="E46" i="7"/>
  <c r="I46" i="7" s="1"/>
  <c r="J46" i="7" s="1"/>
  <c r="E47" i="7"/>
  <c r="I47" i="7" s="1"/>
  <c r="J47" i="7" s="1"/>
  <c r="E48" i="7"/>
  <c r="I48" i="7" s="1"/>
  <c r="J48" i="7" s="1"/>
  <c r="E49" i="7"/>
  <c r="I49" i="7" s="1"/>
  <c r="J49" i="7" s="1"/>
  <c r="E50" i="7"/>
  <c r="I50" i="7" s="1"/>
  <c r="J50" i="7" s="1"/>
  <c r="E51" i="7"/>
  <c r="I51" i="7" s="1"/>
  <c r="J51" i="7" s="1"/>
  <c r="E52" i="7"/>
  <c r="I52" i="7" s="1"/>
  <c r="J52" i="7" s="1"/>
  <c r="E53" i="7"/>
  <c r="I53" i="7" s="1"/>
  <c r="J53" i="7" s="1"/>
  <c r="E54" i="7"/>
  <c r="I54" i="7" s="1"/>
  <c r="J54" i="7" s="1"/>
  <c r="E55" i="7"/>
  <c r="I55" i="7" s="1"/>
  <c r="J55" i="7" s="1"/>
  <c r="E56" i="7"/>
  <c r="I56" i="7" s="1"/>
  <c r="J56" i="7" s="1"/>
  <c r="E27" i="4"/>
  <c r="D30" i="4"/>
  <c r="C33" i="4"/>
  <c r="E35" i="4"/>
  <c r="D38" i="4"/>
  <c r="K5" i="8"/>
  <c r="D28" i="4"/>
  <c r="C31" i="4"/>
  <c r="E33" i="4"/>
  <c r="D36" i="4"/>
  <c r="C39" i="4"/>
  <c r="L5" i="8"/>
  <c r="C34" i="4"/>
  <c r="E36" i="4"/>
  <c r="D39" i="4"/>
  <c r="D26" i="4"/>
  <c r="C29" i="4"/>
  <c r="E31" i="4"/>
  <c r="D34" i="4"/>
  <c r="C37" i="4"/>
  <c r="J57" i="7" l="1"/>
  <c r="K5" i="7"/>
  <c r="K57" i="7" s="1"/>
  <c r="E12" i="6"/>
  <c r="H12" i="6" s="1"/>
  <c r="L25" i="6" s="1"/>
  <c r="D12" i="6"/>
  <c r="I12" i="6" s="1"/>
  <c r="K12" i="6" s="1"/>
  <c r="L12" i="6" s="1"/>
  <c r="L26" i="6" s="1"/>
  <c r="B28" i="2"/>
  <c r="C27" i="2"/>
  <c r="J27" i="2" s="1"/>
  <c r="I21" i="2"/>
  <c r="B20" i="2"/>
  <c r="C19" i="2"/>
  <c r="I28" i="2"/>
  <c r="B27" i="2"/>
  <c r="C26" i="2"/>
  <c r="J26" i="2" s="1"/>
  <c r="I20" i="2"/>
  <c r="B19" i="2"/>
  <c r="I27" i="2"/>
  <c r="B26" i="2"/>
  <c r="C25" i="2"/>
  <c r="J25" i="2" s="1"/>
  <c r="I19" i="2"/>
  <c r="I26" i="2"/>
  <c r="B25" i="2"/>
  <c r="C24" i="2"/>
  <c r="J24" i="2" s="1"/>
  <c r="I25" i="2"/>
  <c r="B24" i="2"/>
  <c r="C23" i="2"/>
  <c r="J23" i="2" s="1"/>
  <c r="C28" i="2"/>
  <c r="J28" i="2" s="1"/>
  <c r="B23" i="2"/>
  <c r="B21" i="2"/>
  <c r="C22" i="2"/>
  <c r="J22" i="2" s="1"/>
  <c r="C20" i="2"/>
  <c r="J20" i="2" s="1"/>
  <c r="B22" i="2"/>
  <c r="I23" i="2"/>
  <c r="I24" i="2"/>
  <c r="I22" i="2"/>
  <c r="C21" i="2"/>
  <c r="J21" i="2" s="1"/>
  <c r="F24" i="2" l="1"/>
  <c r="E24" i="2"/>
  <c r="D24" i="2"/>
  <c r="H24" i="2"/>
  <c r="G24" i="2"/>
  <c r="H22" i="2"/>
  <c r="G22" i="2"/>
  <c r="F22" i="2"/>
  <c r="E22" i="2"/>
  <c r="D22" i="2"/>
  <c r="G19" i="2"/>
  <c r="H19" i="2"/>
  <c r="F19" i="2"/>
  <c r="E19" i="2"/>
  <c r="D19" i="2"/>
  <c r="L27" i="6"/>
  <c r="L28" i="6" s="1"/>
  <c r="H28" i="2"/>
  <c r="G28" i="2"/>
  <c r="F28" i="2"/>
  <c r="E28" i="2"/>
  <c r="D28" i="2"/>
  <c r="H21" i="2"/>
  <c r="G21" i="2"/>
  <c r="F21" i="2"/>
  <c r="E21" i="2"/>
  <c r="D21" i="2"/>
  <c r="H27" i="2"/>
  <c r="G27" i="2"/>
  <c r="F27" i="2"/>
  <c r="D27" i="2"/>
  <c r="E27" i="2"/>
  <c r="G23" i="2"/>
  <c r="F23" i="2"/>
  <c r="E23" i="2"/>
  <c r="D23" i="2"/>
  <c r="H23" i="2"/>
  <c r="M12" i="6"/>
  <c r="E25" i="2"/>
  <c r="D25" i="2"/>
  <c r="G25" i="2"/>
  <c r="F25" i="2"/>
  <c r="H25" i="2"/>
  <c r="J19" i="2"/>
  <c r="C29" i="2"/>
  <c r="J29" i="2" s="1"/>
  <c r="B32" i="2" s="1"/>
  <c r="D26" i="2"/>
  <c r="H26" i="2"/>
  <c r="G26" i="2"/>
  <c r="F26" i="2"/>
  <c r="E26" i="2"/>
  <c r="H20" i="2"/>
  <c r="G20" i="2"/>
  <c r="F20" i="2"/>
  <c r="E20" i="2"/>
  <c r="D20" i="2"/>
  <c r="L29" i="6" l="1"/>
  <c r="L30" i="6" s="1"/>
  <c r="D29" i="2"/>
  <c r="F29" i="2"/>
  <c r="H29" i="2"/>
  <c r="G29" i="2"/>
  <c r="E29" i="2"/>
</calcChain>
</file>

<file path=xl/sharedStrings.xml><?xml version="1.0" encoding="utf-8"?>
<sst xmlns="http://schemas.openxmlformats.org/spreadsheetml/2006/main" count="1628" uniqueCount="584">
  <si>
    <t>Bujías NGK para fuera de borda y motos acuáticas — Colombia</t>
  </si>
  <si>
    <t>Catálogo de consulta, cotizador y plan comercial · Suzuki · Yamaha · Mercury · Parsun · Motos acuáticas · Elaborado el 12/10/2026</t>
  </si>
  <si>
    <t>Cómo está organizado el libro</t>
  </si>
  <si>
    <t>Pestaña</t>
  </si>
  <si>
    <t>Para qué sirve</t>
  </si>
  <si>
    <t>Quién la usa</t>
  </si>
  <si>
    <t>Informe</t>
  </si>
  <si>
    <t>Resumen comercial: cobertura por marca, las referencias que más motores atienden y hallazgos para vender.</t>
  </si>
  <si>
    <t>Gerencia y ventas</t>
  </si>
  <si>
    <t>Plan de ventas</t>
  </si>
  <si>
    <t>Diez acciones para vender más bujías, proyección simple de ventas y plan de 90 días.</t>
  </si>
  <si>
    <t>Ventas</t>
  </si>
  <si>
    <t>Consulta</t>
  </si>
  <si>
    <t>Elige marca y modelo y obtén bujía NGK, gap, torque y cantidad. También busca por bujía y ve qué motores la usan.</t>
  </si>
  <si>
    <t>Mostrador y talleres</t>
  </si>
  <si>
    <t>Catálogo</t>
  </si>
  <si>
    <t>Base completa con filtros: fuente, mercado y nivel de confianza de cada dato.</t>
  </si>
  <si>
    <t>Consulta y actualización</t>
  </si>
  <si>
    <t>Cotizador</t>
  </si>
  <si>
    <t>Cotización por motor con bujías por motor, precio de lista, descuento por tipo de cliente e IVA.</t>
  </si>
  <si>
    <t>Vendedor</t>
  </si>
  <si>
    <t>Precios y Stock</t>
  </si>
  <si>
    <t>Una fila por bujía: prioridad, costo, precio de lista y cuánto reponer.</t>
  </si>
  <si>
    <t>Compras</t>
  </si>
  <si>
    <t>Seguimiento</t>
  </si>
  <si>
    <t>Registro de clientes con fecha de próxima reposición y estado de recompra.</t>
  </si>
  <si>
    <t>Parámetros</t>
  </si>
  <si>
    <t>Margen, IVA, descuentos, umbrales de prioridad y stock mínimo (supuestos editables).</t>
  </si>
  <si>
    <t>Gerencia</t>
  </si>
  <si>
    <t>Leyenda</t>
  </si>
  <si>
    <t>Celda amarilla</t>
  </si>
  <si>
    <t>Se escribe o se elige de la lista (letra azul).</t>
  </si>
  <si>
    <t>Celda sin color</t>
  </si>
  <si>
    <t>Fórmula: no se escribe encima.</t>
  </si>
  <si>
    <t>Confirmado</t>
  </si>
  <si>
    <t>Dato tomado de un manual, una ficha técnica o un catálogo oficial.</t>
  </si>
  <si>
    <t>Por equivalencia</t>
  </si>
  <si>
    <t>Motor idéntico a otro con dato oficial, pero sin manual propio: confirma con la bujía instalada.</t>
  </si>
  <si>
    <t>Verificar</t>
  </si>
  <si>
    <t>Depende del año o la serie, o no hay fuente: confirma siempre con la bujía instalada.</t>
  </si>
  <si>
    <t>Protocolo de atención en 6 pasos</t>
  </si>
  <si>
    <t>Paso 1</t>
  </si>
  <si>
    <t>Pide marca, modelo exacto, año y número de serie (mejor, foto de la placa del motor).</t>
  </si>
  <si>
    <t>Paso 2</t>
  </si>
  <si>
    <t>Búscalo en Consulta. Si el dato sale ámbar o rojo, pide ver la bujía instalada antes de despachar.</t>
  </si>
  <si>
    <t>Paso 3</t>
  </si>
  <si>
    <t>Confirma si es 2T o 4T, cuántas bujías lleva y si requiere resistor (EFI, CDI electrónico, instrumentos).</t>
  </si>
  <si>
    <t>Paso 4</t>
  </si>
  <si>
    <t>Cotiza el juego completo en el Cotizador, no una bujía suelta.</t>
  </si>
  <si>
    <t>Paso 5</t>
  </si>
  <si>
    <t>Ofrece los complementos del servicio: filtro de combustible, aceite de caja, impulsor de bomba de agua y ánodos.</t>
  </si>
  <si>
    <t>Paso 6</t>
  </si>
  <si>
    <t>Registra al cliente en Seguimiento con la fecha de venta para avisarle del siguiente cambio.</t>
  </si>
  <si>
    <t>Fuentes</t>
  </si>
  <si>
    <t>• Suzuki Marine Colombia: suzuki.com.co (catálogo de motores en venta).</t>
  </si>
  <si>
    <t>• Yamaha: fichas técnicas de Eduardoño (eduardono.com), distribuidor en Colombia.</t>
  </si>
  <si>
    <t>• Mercury Marine Latinoamérica: mercurymarine.com/lam/es y tabla oficial de bujías 2022.</t>
  </si>
  <si>
    <t>• Parsun: manuales y repuestos en parsun.eu; modelos en venta según Surtiminas (surtiminas.com/categoria-producto/nautica).</t>
  </si>
  <si>
    <t>• NGK: buscador de bujías (ngkntk.com) y catálogos; distribuidor NZ (Smart Marine) para bujías Parsun 2T.</t>
  </si>
  <si>
    <t>Aviso: los datos consolidan fuentes públicas a octubre de 2026. Verifica siempre con la bujía instalada o el manual del motor, sobre todo en filas marcadas Por equivalencia o Verificar. Los precios, márgenes y descuentos del libro son supuestos de ejemplo.</t>
  </si>
  <si>
    <t>Informe comercial: bujías NGK para fuera de borda y motos acuáticas en Colombia</t>
  </si>
  <si>
    <t>Suzuki · Yamaha · Mercury · Parsun · Motos acuáticas   |   Elaborado el 12/10/2026   |   Cifras calculadas con fórmulas desde la pestaña Catálogo</t>
  </si>
  <si>
    <t>Modelos catalogados</t>
  </si>
  <si>
    <t>Referencias NGK distintas</t>
  </si>
  <si>
    <t>Modelos en venta actual</t>
  </si>
  <si>
    <t>Datos confirmados</t>
  </si>
  <si>
    <t>de las 5 familias de motor</t>
  </si>
  <si>
    <t>bujías únicas a comprar</t>
  </si>
  <si>
    <t>catálogos vigentes en Colombia</t>
  </si>
  <si>
    <t>con manual, ficha o catálogo oficial</t>
  </si>
  <si>
    <t>Cobertura por marca</t>
  </si>
  <si>
    <t>Marca</t>
  </si>
  <si>
    <t>Modelos</t>
  </si>
  <si>
    <t>4 tiempos</t>
  </si>
  <si>
    <t>2 tiempos</t>
  </si>
  <si>
    <t>Venta actual</t>
  </si>
  <si>
    <t>Bujías distintas</t>
  </si>
  <si>
    <t>Suzuki</t>
  </si>
  <si>
    <t>Yamaha</t>
  </si>
  <si>
    <t>Mercury</t>
  </si>
  <si>
    <t>Parsun</t>
  </si>
  <si>
    <t>Acuáticas</t>
  </si>
  <si>
    <t>Total</t>
  </si>
  <si>
    <t>La suma de 'Bujías distintas' por marca supera el total porque una misma bujía sirve a varias marcas. Mercury muestra 0 en venta actual porque su tabla oficial mezcla series antiguas y actuales: verifica siempre el año. En Acuáticas, la venta actual corresponde a Sea-Doo (distribuidor oficial en Colombia); Yamaha y Kawasaki quedan por verificar.</t>
  </si>
  <si>
    <t>Las 10 referencias que más motores cubren (prioridad de inventario)</t>
  </si>
  <si>
    <t>Bujía NGK</t>
  </si>
  <si>
    <t>Modelos que la usan</t>
  </si>
  <si>
    <t>Prioridad</t>
  </si>
  <si>
    <t>% del catálogo</t>
  </si>
  <si>
    <t>Total de las 10</t>
  </si>
  <si>
    <t>Hallazgos clave para vender</t>
  </si>
  <si>
    <t>2. Una misma bujía atiende marcas distintas: LKR6E cubre Suzuki DF115/DF150, Yamaha F115B y Parsun F-115; DCPR6E sirve a varios Suzuki de 25 a 100 HP y a los FourStroke pequeños de Mercury; LFR5A-11 y LFR6A-11 sirven a Yamaha y Mercury de 75 a 300 HP.</t>
  </si>
  <si>
    <t>3. Parecidas no son iguales: LKR6E (rosca 12 mm, alcance 26,5 mm) y BKR6E (rosca 14 mm, alcance 19 mm) no son intercambiables. Parsun usa DPR7EA-9, un rango más frío, donde Yamaha usa DPR6EB-9 (F-20 y F-60 frente a F20C y FT60J). Un rango térmico incorrecto produce fallas de encendido o sobrecalentamiento.</t>
  </si>
  <si>
    <t>4. Revisa el resistor: los motores con inyección electrónica (EFI), CDI electrónico o instrumentos de navegación lo suelen exigir (referencias con R, como DCPR6E o BPR7HS). Excepción: algunos 2T de Yamaha usan referencias sin resistor (B7HS, B8HS-10). Manda el manual del fabricante.</t>
  </si>
  <si>
    <t>5. Se vende por juego, no por unidad: 2 bujías en un bicilíndrico, 4 en un cuatro cilindros y 6 en un V6. Cotiza siempre el juego completo.</t>
  </si>
  <si>
    <t>6. Confirma con la bujía instalada los datos marcados Por equivalencia o Verificar (Parsun F-115, T-2C, T-5, T-25, T-75, LT7 y los históricos de Yamaha y Mercury, que cambian según año y serie).</t>
  </si>
  <si>
    <t>7. Hay discrepancias entre fuentes: Mercury 40/50/60 EFI trae Champion RA8HC de fábrica y NGK lista DCPR7E; en Parsun F8/F9.8 y F20/F25 el manual dice DPR7EA-9 y el catálogo de repuestos DPR6EA-9.</t>
  </si>
  <si>
    <t>8. Motos acuáticas: Sea-Doo es la marca con distribuidor oficial en Colombia y sus motores recientes usan solo tres bujías (CR8EB en los Spark, DCPR8E en los de 130 a 230 HP y KR9E-G en los de 300 HP). Yamaha y Kawasaki quedan por verificar: confirma primero cuántas máquinas circulan en tu zona antes de comprar stock.</t>
  </si>
  <si>
    <t>Argumentos de venta</t>
  </si>
  <si>
    <t>Para el taller</t>
  </si>
  <si>
    <t>Para el cliente final</t>
  </si>
  <si>
    <t>• Un solo proveedor para fuera de borda y motos acuáticas: menos tiempo buscando la referencia.</t>
  </si>
  <si>
    <t>• La bujía que indica el fabricante para su motor, no 'la que parece servir'.</t>
  </si>
  <si>
    <t>• Respuesta en minutos con gap y torque listos para el mecánico.</t>
  </si>
  <si>
    <t>• Menos riesgo de fallas de encendido: una bujía equivocada o desgastada es causa común.</t>
  </si>
  <si>
    <t>• Juego completo por motor: sin viajes de vuelta por faltantes.</t>
  </si>
  <si>
    <t>• Cambio de la referencia si no corresponde (política que tú defines).</t>
  </si>
  <si>
    <t>• Precio escalonado por volumen y entrega rápida de las referencias de prioridad Alta.</t>
  </si>
  <si>
    <t>• Aviso por WhatsApp cuando se acerca el siguiente cambio.</t>
  </si>
  <si>
    <t>Plan de ventas: qué más ayuda a vender más bujías</t>
  </si>
  <si>
    <t>Recomendaciones ordenadas por impacto esperado. Son hipótesis de trabajo: mide resultados y ajusta.</t>
  </si>
  <si>
    <t>#</t>
  </si>
  <si>
    <t>Acción</t>
  </si>
  <si>
    <t>Por qué ayuda</t>
  </si>
  <si>
    <t>Cómo ejecutarla</t>
  </si>
  <si>
    <t>Esfuerzo</t>
  </si>
  <si>
    <t>Vender por kit de servicio</t>
  </si>
  <si>
    <t>Un V6 usa 6 bujías y un cuatro cilindros, 4: el ticket crece al vender el juego completo y los complementos del servicio.</t>
  </si>
  <si>
    <t>Arma kits por motor desde el Cotizador: juego de bujías + filtro de combustible + aceite de caja + impulsor de bomba de agua + ánodos. Ofrece un precio de kit con un descuento pequeño.</t>
  </si>
  <si>
    <t>Alta</t>
  </si>
  <si>
    <t>Bajo</t>
  </si>
  <si>
    <t>Stock de las referencias de mayor cobertura</t>
  </si>
  <si>
    <t>Pocas referencias atienden muchos modelos (ver Informe): inventario reducido con alta disponibilidad.</t>
  </si>
  <si>
    <t>Compra primero las de prioridad Alta en 'Precios y Stock' y mantén el mínimo sugerido. Revisa la columna 'Reponer' cada semana.</t>
  </si>
  <si>
    <t>Programa para talleres</t>
  </si>
  <si>
    <t>Un taller recompra todas las semanas; un cliente final, una vez al año.</t>
  </si>
  <si>
    <t>Lista escalonada (Parámetros), pedido mínimo bajo, entrega en 24 horas y cuenta mensual para talleres con volumen.</t>
  </si>
  <si>
    <t>Medio</t>
  </si>
  <si>
    <t>Consulta por WhatsApp con foto de la placa</t>
  </si>
  <si>
    <t>Reduce errores de referencia y devoluciones; el taller te prefiere porque resuelves rápido.</t>
  </si>
  <si>
    <t>Pide foto de la placa del motor (serie y año), responde con la ficha de Consulta (bujía, gap, torque) y envía la cotización.</t>
  </si>
  <si>
    <t>Recordatorio de recompra</t>
  </si>
  <si>
    <t>Los cambios son periódicos: avisar a tiempo evita que el cliente compre en otro lado.</t>
  </si>
  <si>
    <t>Registra cada venta en Seguimiento y escribe al cliente cuando el estado pase a 'Próximos 30 días'. Ajusta el intervalo según el manual de cada motor.</t>
  </si>
  <si>
    <t>Alianzas en puntos de alto volumen</t>
  </si>
  <si>
    <t>Las flotas y los grupos compran por docenas de motores.</t>
  </si>
  <si>
    <t>Visita cooperativas de pesca, transporte fluvial, minería aluvial, marinas y operadores turísticos de tu zona; ofrece diagnóstico gratis y contrato de suministro.</t>
  </si>
  <si>
    <t>Media</t>
  </si>
  <si>
    <t>Campañas por temporada</t>
  </si>
  <si>
    <t>Semana Santa, vacaciones de mitad de año y diciembre–enero suelen concentrar el uso recreativo y turístico.</t>
  </si>
  <si>
    <t>Lanza la campaña 3 o 4 semanas antes, con kits listos y stock reforzado de las referencias de prioridad Alta.</t>
  </si>
  <si>
    <t>Mini-capacitación a mecánicos</t>
  </si>
  <si>
    <t>Quien explica, vende: te posicionas como asesor y no como simple proveedor.</t>
  </si>
  <si>
    <t>Sesión de 20 minutos en el taller: cómo leer el estado de la bujía, rango térmico, resistor y mezcla 50:1 en los 2T Parsun.</t>
  </si>
  <si>
    <t>Agregar equivalencias de otras marcas de bujía</t>
  </si>
  <si>
    <t>Cuando el cliente trae otra marca (por ejemplo Champion), tener la equivalencia evita perder la venta.</t>
  </si>
  <si>
    <t>Añade columnas de equivalencia a la pestaña Catálogo. En este libro no están verificadas, por eso no se incluyeron.</t>
  </si>
  <si>
    <t>Completar los datos pendientes</t>
  </si>
  <si>
    <t>Menos riesgo de error y más confianza al cotizar.</t>
  </si>
  <si>
    <t>En las filas ámbar y rojas del Catálogo, anota la bujía que el taller ve instalada. Para Parsun, pide la ficha a Surtiminas: servicioalcliente@surtiminas.com.co o (604) 322-1205.</t>
  </si>
  <si>
    <t>Proyección simple de ventas mensuales</t>
  </si>
  <si>
    <t>Celdas amarillas = supuestos de ejemplo para que reemplaces con tus cifras reales.</t>
  </si>
  <si>
    <t>Talleres activos</t>
  </si>
  <si>
    <t>Ejemplo: talleres que te compran de forma regular.</t>
  </si>
  <si>
    <t>Motores por taller que cambian bujías al mes</t>
  </si>
  <si>
    <t>Ejemplo: pregúntalo en cada visita.</t>
  </si>
  <si>
    <t>Bujías por motor (promedio)</t>
  </si>
  <si>
    <t>Promedio de los modelos en venta actual del catálogo; puedes sobrescribirlo con tu mezcla real.</t>
  </si>
  <si>
    <t>Precio promedio de venta por bujía (COP)</t>
  </si>
  <si>
    <t>Ejemplo ilustrativo: reemplázalo con tu precio real de lista.</t>
  </si>
  <si>
    <t>Descuento promedio a talleres</t>
  </si>
  <si>
    <t>Viene de Parámetros.</t>
  </si>
  <si>
    <t>Margen bruto objetivo sobre el precio de lista</t>
  </si>
  <si>
    <t>Bujías vendidas al mes</t>
  </si>
  <si>
    <t>Ingreso neto mensual (sin IVA, COP)</t>
  </si>
  <si>
    <t>Margen bruto mensual estimado (COP)</t>
  </si>
  <si>
    <t>Ingreso neto anual (COP)</t>
  </si>
  <si>
    <t>Aporte de un taller adicional por mes (COP)</t>
  </si>
  <si>
    <t>Plan de 90 días</t>
  </si>
  <si>
    <t>Cuándo</t>
  </si>
  <si>
    <t>Meta medible (sugerida: ajústala a tu zona)</t>
  </si>
  <si>
    <t>Semanas 1–2</t>
  </si>
  <si>
    <t>Cargar costos reales en 'Precios y Stock' y definir margen y descuentos en Parámetros.</t>
  </si>
  <si>
    <t>Precio de lista para todas las referencias de prioridad Alta.</t>
  </si>
  <si>
    <t>Armar los kits de servicio de los motores más comunes en tu zona.</t>
  </si>
  <si>
    <t>5 kits con precio y código.</t>
  </si>
  <si>
    <t>Semanas 3–4</t>
  </si>
  <si>
    <t>Visitar talleres y mostrar la pestaña Consulta con tres motores de ejemplo.</t>
  </si>
  <si>
    <t>10 talleres visitados y al menos 3 primeras compras.</t>
  </si>
  <si>
    <t>Semanas 5–8</t>
  </si>
  <si>
    <t>Activar WhatsApp Business con respuesta por foto de placa.</t>
  </si>
  <si>
    <t>Responder en menos de 30 minutos.</t>
  </si>
  <si>
    <t>Registrar todas las ventas en Seguimiento.</t>
  </si>
  <si>
    <t>100 % de las ventas con motor y fecha.</t>
  </si>
  <si>
    <t>Semanas 9–12</t>
  </si>
  <si>
    <t>Primera ronda de recordatorios de recompra y campaña de temporada.</t>
  </si>
  <si>
    <t>Medir cuántos recordatorios terminan en recompra.</t>
  </si>
  <si>
    <t>Consulta rápida de bujías</t>
  </si>
  <si>
    <t>Elige en las celdas amarillas. Respuesta inmediata para mostrador y talleres.</t>
  </si>
  <si>
    <t>1. Buscar por motor</t>
  </si>
  <si>
    <t>← elige la marca</t>
  </si>
  <si>
    <t>Modelo</t>
  </si>
  <si>
    <t>DF60AQHL/ATL</t>
  </si>
  <si>
    <t>← la lista depende de la marca</t>
  </si>
  <si>
    <t>Gap (mm)</t>
  </si>
  <si>
    <t>Torque (N·m)</t>
  </si>
  <si>
    <t>Bujías por motor</t>
  </si>
  <si>
    <t>Tipo</t>
  </si>
  <si>
    <t>Motor</t>
  </si>
  <si>
    <t>Mercado</t>
  </si>
  <si>
    <t>Confianza del dato</t>
  </si>
  <si>
    <t>Fuente</t>
  </si>
  <si>
    <t>Notas</t>
  </si>
  <si>
    <t>Otros modelos con la misma bujía</t>
  </si>
  <si>
    <t>Texto para enviar al cliente</t>
  </si>
  <si>
    <t>2. Buscar por bujía: ¿qué motores la usan?</t>
  </si>
  <si>
    <t>LKR6E</t>
  </si>
  <si>
    <t>← elige o escribe la referencia</t>
  </si>
  <si>
    <t>Marca y modelo</t>
  </si>
  <si>
    <t>Tipo y motor</t>
  </si>
  <si>
    <t>Confianza</t>
  </si>
  <si>
    <t>Se muestran hasta 15 modelos; el contador de arriba indica el total real.</t>
  </si>
  <si>
    <t>Catálogo de bujías NGK — motores fuera de borda y motos acuáticas en Colombia</t>
  </si>
  <si>
    <t>Consolidado de manuales y catálogos oficiales. La columna Confianza dice qué tan sólido es cada dato; filtra con las flechas del encabezado.</t>
  </si>
  <si>
    <t>Clave</t>
  </si>
  <si>
    <t>Aux. búsqueda</t>
  </si>
  <si>
    <t>DF2.5S</t>
  </si>
  <si>
    <t>4T</t>
  </si>
  <si>
    <t>1 cil.</t>
  </si>
  <si>
    <t>CR6HSA</t>
  </si>
  <si>
    <t>0.6–0.7</t>
  </si>
  <si>
    <t>suzuki.com.co</t>
  </si>
  <si>
    <t>OEM 09482-00406</t>
  </si>
  <si>
    <t>DF6AS</t>
  </si>
  <si>
    <t>CPR6EA-9</t>
  </si>
  <si>
    <t>0.8–0.9</t>
  </si>
  <si>
    <t>10–12</t>
  </si>
  <si>
    <t>DF20AS/AL</t>
  </si>
  <si>
    <t>2 cil.</t>
  </si>
  <si>
    <t>MR6K-9</t>
  </si>
  <si>
    <t>4 cil.</t>
  </si>
  <si>
    <t>DCPR6E</t>
  </si>
  <si>
    <t>OEM 09482-00446</t>
  </si>
  <si>
    <t>DF90ATL/ATX, DF90AWQHL/AWQHX</t>
  </si>
  <si>
    <t>DF115BTL/BTX (Stealth/blanco)</t>
  </si>
  <si>
    <t>OEM 09482-00649</t>
  </si>
  <si>
    <t>DF150ATL/ATX/AZX</t>
  </si>
  <si>
    <t>DF200TL/TX/ZX</t>
  </si>
  <si>
    <t>V6, 3.614 cc</t>
  </si>
  <si>
    <t>BKR6E</t>
  </si>
  <si>
    <t>0.7–0.8</t>
  </si>
  <si>
    <t>OEM 09482-00427</t>
  </si>
  <si>
    <t>DF250TX/ZX/TXX/ZXX</t>
  </si>
  <si>
    <t>V6</t>
  </si>
  <si>
    <t>DF300APX/APXX (Stealth/blanco)</t>
  </si>
  <si>
    <t>DF325ATX/ATXX (blanco)</t>
  </si>
  <si>
    <t>ILZKR7D8</t>
  </si>
  <si>
    <t>Iridio. OEM 09482-00642</t>
  </si>
  <si>
    <t>DT30S/L</t>
  </si>
  <si>
    <t>2T</t>
  </si>
  <si>
    <t>BR7HS-10</t>
  </si>
  <si>
    <t>1.0</t>
  </si>
  <si>
    <t>Único 2T activo del catálogo. Con resistor.</t>
  </si>
  <si>
    <t>DF4/5/6 (2002–2010)</t>
  </si>
  <si>
    <t>BPR6ES</t>
  </si>
  <si>
    <t>Parque circulando</t>
  </si>
  <si>
    <t>Manual Suzuki / NGK</t>
  </si>
  <si>
    <t>DF4A/5A/6A (2011+)</t>
  </si>
  <si>
    <t>DF8A/9.9A (2010+)</t>
  </si>
  <si>
    <t>CR6E</t>
  </si>
  <si>
    <t>DF9.9/15 carburados (2005–2010)</t>
  </si>
  <si>
    <t>DF9.9B/15A/20A (2013–2017)</t>
  </si>
  <si>
    <t>DF25/30 (2000–2004)</t>
  </si>
  <si>
    <t>3 cil.</t>
  </si>
  <si>
    <t>0.7</t>
  </si>
  <si>
    <t>DF40/50 y DF40A/50A</t>
  </si>
  <si>
    <t>—</t>
  </si>
  <si>
    <t>DF60/70 (1998–2009)</t>
  </si>
  <si>
    <t>DF70A/80A/90A/100B (2009+)</t>
  </si>
  <si>
    <t>DF90 sin 'A', DF100A/115A/140A</t>
  </si>
  <si>
    <t>DF115B/140B</t>
  </si>
  <si>
    <t>DF150/175 sin 'AP'</t>
  </si>
  <si>
    <t>DT2/2.2</t>
  </si>
  <si>
    <t>BR5HS</t>
  </si>
  <si>
    <t>0.5–0.6</t>
  </si>
  <si>
    <t>Con resistor</t>
  </si>
  <si>
    <t>DT4/5/6/8 (desde 1986)</t>
  </si>
  <si>
    <t>BPR6HS</t>
  </si>
  <si>
    <t>0.6</t>
  </si>
  <si>
    <t>DT9.9/15/16 (2 cil.)</t>
  </si>
  <si>
    <t>BR7HS</t>
  </si>
  <si>
    <t>DT15C/E, DT20/25E/30</t>
  </si>
  <si>
    <t>DT40/50</t>
  </si>
  <si>
    <t>BR8HS</t>
  </si>
  <si>
    <t>DT55/60/75C</t>
  </si>
  <si>
    <t>BR8HS-10</t>
  </si>
  <si>
    <t>DT115/140 carburados</t>
  </si>
  <si>
    <t>DT115S/140 EFI, DT150/175/200/225 V6</t>
  </si>
  <si>
    <t>F6C (F6CMHS-E)</t>
  </si>
  <si>
    <t>CR6HSB</t>
  </si>
  <si>
    <t>Ficha Eduardoño</t>
  </si>
  <si>
    <t>F20C (F20CMHS/HL-E)</t>
  </si>
  <si>
    <t>DPR6EB-9</t>
  </si>
  <si>
    <t>Parsun F-20 (mismo bloque) pide DPR7EA-9: no mezclar</t>
  </si>
  <si>
    <t>FT60J (FT60JEHDL/X, FT60JETL/X)</t>
  </si>
  <si>
    <t>4 cil., 996 cc</t>
  </si>
  <si>
    <t>F100G (F100GETL/X, F100GEHTL/X)</t>
  </si>
  <si>
    <t>4 cil., 1.832 cc</t>
  </si>
  <si>
    <t>LKR6E-9N</t>
  </si>
  <si>
    <t>0.9</t>
  </si>
  <si>
    <t>F(L)115B (F115BETL/X, FL115BETX)</t>
  </si>
  <si>
    <t>F(L)150F (F150FETX-E, FL150FETX-E)</t>
  </si>
  <si>
    <t>4 cil., 2.670 cc</t>
  </si>
  <si>
    <t>LFR5A-11</t>
  </si>
  <si>
    <t>1.0–1.1</t>
  </si>
  <si>
    <t>F(L)200B (F200BETX-E, FL200BETX-E)</t>
  </si>
  <si>
    <t>V6, 3.352 cc</t>
  </si>
  <si>
    <t>LFR6A-11</t>
  </si>
  <si>
    <t>F(L)200S (F200SETX, FL200SETX)</t>
  </si>
  <si>
    <t>V6, 4.169 cc</t>
  </si>
  <si>
    <t>F250H (F250HETX/ETU, FL250HETX)</t>
  </si>
  <si>
    <t>F(L)250S (F250SETX, FL250SETX/ETU)</t>
  </si>
  <si>
    <t>F(L)300D (F300DETX/ETU, FL300DETX/ETU)</t>
  </si>
  <si>
    <t>F(L)300G (F300GETX/ETU, FL300GETX)</t>
  </si>
  <si>
    <t>F350B V6 (F350BST)</t>
  </si>
  <si>
    <t>V6, 4.256 cc</t>
  </si>
  <si>
    <t>ILMAR7E-9</t>
  </si>
  <si>
    <t>Iridio</t>
  </si>
  <si>
    <t>E15D (E15DMHS/HL)</t>
  </si>
  <si>
    <t>2 cil., 246 cc</t>
  </si>
  <si>
    <t>B8HS-10</t>
  </si>
  <si>
    <t>Mismo bloque que Parsun T-15</t>
  </si>
  <si>
    <t>E40J (E40JMHS/HL)</t>
  </si>
  <si>
    <t>2 cil., 669 cc</t>
  </si>
  <si>
    <t>B7HS</t>
  </si>
  <si>
    <t>Mismo bloque que Parsun T-40</t>
  </si>
  <si>
    <t>E40X (E40XMHS/HL-E)</t>
  </si>
  <si>
    <t>NGK Part Finder</t>
  </si>
  <si>
    <t>La ficha de Eduardoño no abrió</t>
  </si>
  <si>
    <t>E75B (E75BMHDL/X)</t>
  </si>
  <si>
    <t>3 cil., 1.140 cc</t>
  </si>
  <si>
    <t>Mismo bloque que Parsun T-75</t>
  </si>
  <si>
    <t>F15 (histórico)</t>
  </si>
  <si>
    <t>DPR6EA-9</t>
  </si>
  <si>
    <t>0.8</t>
  </si>
  <si>
    <t>Verificar año/serie</t>
  </si>
  <si>
    <t>Histórico Yamaha / NGK</t>
  </si>
  <si>
    <t>F15C / F20 carburados</t>
  </si>
  <si>
    <t>F40 / F50 / F60 (histórico)</t>
  </si>
  <si>
    <t>Algunos FT60 usan DPR5EA-9</t>
  </si>
  <si>
    <t>F75 / F80 / F90 / F100 (histórico)</t>
  </si>
  <si>
    <t>F115 (2000–2013)</t>
  </si>
  <si>
    <t>1.1</t>
  </si>
  <si>
    <t>F200 / F225 (3.3 L V6, histórico)</t>
  </si>
  <si>
    <t>F200A en adelante usan LFR6A-11</t>
  </si>
  <si>
    <t>2T 4–5 HP (histórico)</t>
  </si>
  <si>
    <t>2T 6–8 HP (histórico)</t>
  </si>
  <si>
    <t>B7HS-10</t>
  </si>
  <si>
    <t>2T 9.9–40 HP (histórico)</t>
  </si>
  <si>
    <t>2T 50–75 HP (histórico)</t>
  </si>
  <si>
    <t>2T 115 HP (histórico)</t>
  </si>
  <si>
    <t>FourStroke 2.5 / 3.5</t>
  </si>
  <si>
    <t>0.84 (0.033")</t>
  </si>
  <si>
    <t>Mixto (verificar año)</t>
  </si>
  <si>
    <t>Tabla oficial Mercury 2022</t>
  </si>
  <si>
    <t>FourStroke 4 / 5 / 6</t>
  </si>
  <si>
    <t>0.9 (0.035")</t>
  </si>
  <si>
    <t>FourStroke 8 / 9.9 / 15 / 20 (serie JPN nueva)</t>
  </si>
  <si>
    <t>FourStroke 8 / 9.9 / 15 / 25 / 30 carburados (USA/BEL ant.)</t>
  </si>
  <si>
    <t>FourStroke 40 / 50 / 60 carburados</t>
  </si>
  <si>
    <t>FourStroke 40 / 50 / 60 EFI</t>
  </si>
  <si>
    <t>DCPR7E</t>
  </si>
  <si>
    <t>OEM Mercury: Champion RA8HC (0.040"). NGK lista DCPR7E</t>
  </si>
  <si>
    <t>FourStroke 75 / 90 de 1.596 cc (antiguo)</t>
  </si>
  <si>
    <t>4 cil., 1.596 cc</t>
  </si>
  <si>
    <t>1.1 (0.043")</t>
  </si>
  <si>
    <t>FourStroke 75–115 de 1.7 L</t>
  </si>
  <si>
    <t>LFR4A-E</t>
  </si>
  <si>
    <t>0.8 (0.032")</t>
  </si>
  <si>
    <t>FourStroke 75–115 de 2.1 L y Pro XS 115</t>
  </si>
  <si>
    <t>ZFR5F</t>
  </si>
  <si>
    <t>FourStroke 115 EFI de 1.741 cc (antiguo)</t>
  </si>
  <si>
    <t>1.0 (0.041")</t>
  </si>
  <si>
    <t>FourStroke 150 EFI</t>
  </si>
  <si>
    <t>FourStroke 225 EFI de 3.0 L</t>
  </si>
  <si>
    <t>175–300 V6/V8 y 450R (serie 2B529482+)</t>
  </si>
  <si>
    <t>V6/V8</t>
  </si>
  <si>
    <t>LART7C-9</t>
  </si>
  <si>
    <t>Verado 135–350</t>
  </si>
  <si>
    <t>ILFR6GE</t>
  </si>
  <si>
    <t>0.8 (0.031")</t>
  </si>
  <si>
    <t>TwoStroke 2.5 / 3.3 / 3.5</t>
  </si>
  <si>
    <t>BPR6HS-10</t>
  </si>
  <si>
    <t>1.0 (0.040")</t>
  </si>
  <si>
    <t>TwoStroke 3.6 / 4 / 5</t>
  </si>
  <si>
    <t>BPR7HS-10</t>
  </si>
  <si>
    <t>TwoStroke 6 / 8 / 9.9 (hasta 0G112449)</t>
  </si>
  <si>
    <t>BPZ8H-N-10</t>
  </si>
  <si>
    <t>TwoStroke 9.9 / 10 / 15 (series nuevas) y Sea Pro 15</t>
  </si>
  <si>
    <t>BPZ8HS-15</t>
  </si>
  <si>
    <t>1.5 (0.060")</t>
  </si>
  <si>
    <t>TwoStroke 15 Super / Sea Pro XD / 18 / 20 / 25</t>
  </si>
  <si>
    <t>TwoStroke 30 / 40 / 50 / 55 / 60 (3 cil., desde 0D000750)</t>
  </si>
  <si>
    <t>TwoStroke 100 / 115 / 125 (4 cil.)</t>
  </si>
  <si>
    <t>TwoStroke V6 150–300 (desde 0G960500)</t>
  </si>
  <si>
    <t>BPZ8HS-10</t>
  </si>
  <si>
    <t>OptiMax 75 / 90 / 115 (1.5 L, 3 cil.)</t>
  </si>
  <si>
    <t>IZFR5J</t>
  </si>
  <si>
    <t>OptiMax V6 DFI 135–225 y Pro XS 200</t>
  </si>
  <si>
    <t>IZFR5G</t>
  </si>
  <si>
    <t>OptiMax Pro XS 150–250</t>
  </si>
  <si>
    <t>IZFR6J</t>
  </si>
  <si>
    <t>1.1 (0.042")</t>
  </si>
  <si>
    <t>V6 antiguos carburados 135–300 HP</t>
  </si>
  <si>
    <t>BUZ8H</t>
  </si>
  <si>
    <t>Superficie</t>
  </si>
  <si>
    <t>BUZHW en algunas series. No se calibran</t>
  </si>
  <si>
    <t>F-2.6 BMS</t>
  </si>
  <si>
    <t>BR6HS</t>
  </si>
  <si>
    <t>Surtiminas + parsun.eu</t>
  </si>
  <si>
    <t>F-5 BMS / BML</t>
  </si>
  <si>
    <t>1 cil., 112 cc</t>
  </si>
  <si>
    <t>Serie F4/F5. Las F5A/F6A usan CR6HSA</t>
  </si>
  <si>
    <t>F-20 EBMS / EBML</t>
  </si>
  <si>
    <t>2 cil., 362 cc</t>
  </si>
  <si>
    <t>DPR7EA-9</t>
  </si>
  <si>
    <t>Yamaha F20C (mismo bloque) usa DPR6EB-9: un grado más frío en Parsun</t>
  </si>
  <si>
    <t>F-50 BEL-D-EFI / BEL-T-EFI / FEL-T-EFI</t>
  </si>
  <si>
    <t>F-60 BEL-D-EFI / BEL-T-EFI / FEL-T-EFI</t>
  </si>
  <si>
    <t>F-115 FEL-T-EFI / FEX-T-EFI</t>
  </si>
  <si>
    <t>Surtiminas + equivalencia</t>
  </si>
  <si>
    <t>Mismo bloque que Yamaha F115B. Sin manual Parsun: verificar con la bujía de fábrica</t>
  </si>
  <si>
    <t>LT7 'peque peque' (motor 170F)</t>
  </si>
  <si>
    <t>1 cil., 208 cc</t>
  </si>
  <si>
    <t>Surtiminas</t>
  </si>
  <si>
    <t>No es un fuera de borda Parsun. BPR6ES es la referencia habitual de los clones GX200</t>
  </si>
  <si>
    <t>T-2C BMS</t>
  </si>
  <si>
    <t>BPR7HS</t>
  </si>
  <si>
    <t>Surtiminas (modelo) + parsun.eu y distribuidor NZ (bujía)</t>
  </si>
  <si>
    <t>Por equivalencia con la serie T2.6</t>
  </si>
  <si>
    <t>T-3.6 BMS</t>
  </si>
  <si>
    <t>T-5 BMS / BML</t>
  </si>
  <si>
    <t>Por equivalencia con la serie T5.8</t>
  </si>
  <si>
    <t>T-9.8 BMS / BML</t>
  </si>
  <si>
    <t>2 cil., 169 cc</t>
  </si>
  <si>
    <t>Surtiminas + NGK</t>
  </si>
  <si>
    <t>T-15 BMS / BML</t>
  </si>
  <si>
    <t>Yamaha E15D (mismo bloque) usa B8HS-10: si la de fábrica es rango 8, respétala</t>
  </si>
  <si>
    <t>T-25 BMS / BML</t>
  </si>
  <si>
    <t>2 cil., 496 cc</t>
  </si>
  <si>
    <t>Surtiminas + serie T</t>
  </si>
  <si>
    <t>Por extensión de la serie T</t>
  </si>
  <si>
    <t>T-40 JBMS / JBML / GBML</t>
  </si>
  <si>
    <t>Yamaha E40J (mismo bloque) usa B7HS</t>
  </si>
  <si>
    <t>T-75 BML-D / BML-T / FEX-T</t>
  </si>
  <si>
    <t>3 cil., 1.141 cc</t>
  </si>
  <si>
    <t>Mismo bloque que Yamaha E75B (B8HS-10). Con resistor: BR8HS-10</t>
  </si>
  <si>
    <t>F5A / F6A (OHV)</t>
  </si>
  <si>
    <t>no confirmado</t>
  </si>
  <si>
    <t>Gama global (no visto en Surtiminas)</t>
  </si>
  <si>
    <t>parsun.eu</t>
  </si>
  <si>
    <t>No visto en Surtiminas</t>
  </si>
  <si>
    <t>F6 / F8 / F9.8 (209 cc)</t>
  </si>
  <si>
    <t>2 cil., 209 cc</t>
  </si>
  <si>
    <t>Manual dice DPR7EA-9; catálogo de repuestos dice DPR6EA-9. No visto en Surtiminas</t>
  </si>
  <si>
    <t>F9.9 / F15 (232 cc)</t>
  </si>
  <si>
    <t>2 cil., 232 cc</t>
  </si>
  <si>
    <t>F20 / F25 (498 cc)</t>
  </si>
  <si>
    <t>2 cil., 498 cc</t>
  </si>
  <si>
    <t>F30 / F40 (747 cc)</t>
  </si>
  <si>
    <t>3 cil., 747 cc</t>
  </si>
  <si>
    <t>Sea-Doo Spark / Spark Trixx (900 ACE, 60 y 90 HP)</t>
  </si>
  <si>
    <t>3 cil., 900 cc</t>
  </si>
  <si>
    <t>CR8EB</t>
  </si>
  <si>
    <t>seadoo.com.co + NGK Part Finder</t>
  </si>
  <si>
    <t>NGK stock 7784 (2017–2020). Rosca 10 mm, hex 16 mm. Spark en venta actual en Colombia</t>
  </si>
  <si>
    <t>Sea-Doo GTI / GTI SE 130 y 170, GTX 170 y 230, Wake Pro 230 (2021+)</t>
  </si>
  <si>
    <t>3 cil., 1630 ACE</t>
  </si>
  <si>
    <t>DCPR8E</t>
  </si>
  <si>
    <t>seadoo.com.co + Riva Racing (distribuidor)</t>
  </si>
  <si>
    <t>En venta actual en Colombia. Distribuidor la lista para 130/170/230 de 2021+; confirma con la bujía instalada</t>
  </si>
  <si>
    <t>Sea-Doo Fish Pro / Explorer Pro (1630 ACE)</t>
  </si>
  <si>
    <t>Por equivalencia con los motores 130/170/230 de la misma familia</t>
  </si>
  <si>
    <t>Sea-Doo RXP-X / RXT-X / GTX Limited / GTR-X 300 (2018+)</t>
  </si>
  <si>
    <t>3 cil., 1630 ACE sobrealimentado</t>
  </si>
  <si>
    <t>KR9E-G</t>
  </si>
  <si>
    <t>NGK stock 93226, rosca 12 mm, largo 17,5 mm. Algunos distribuidores lo listan como KR9C-G. En venta actual en Colombia</t>
  </si>
  <si>
    <t>Sea-Doo RXP-X / RXT-X 325 SS (2024+)</t>
  </si>
  <si>
    <t>En venta actual en Colombia (modelos 2026). Se asume la misma bujía de los 300 HP: confirma con la bujía instalada</t>
  </si>
  <si>
    <t>Sea-Doo 4-TEC 1503 (GTI, GTX, RXP, RXT, Wake; 2007–2015)</t>
  </si>
  <si>
    <t>3 cil., 1503 cc</t>
  </si>
  <si>
    <t>Parque circulando. NGK lo lista para RXT 255, GTX 155 y Wake 155</t>
  </si>
  <si>
    <t>Sea-Doo GTR / GTX 230 (1500 HO ACE, 2017)</t>
  </si>
  <si>
    <t>3 cil., 1500 cc</t>
  </si>
  <si>
    <t>Sea-Doo 2T carburados 717 / 787 / 947 (1997–2002)</t>
  </si>
  <si>
    <t>BR8ES</t>
  </si>
  <si>
    <t>Tabla PWC Jetskis Int'l</t>
  </si>
  <si>
    <t>Parque circulando. Los más antiguos (1990–1996) usan BR7ES</t>
  </si>
  <si>
    <t>Sea-Doo 2T inyección directa 947 DI (2000–2004)</t>
  </si>
  <si>
    <t>ZFR4F-11</t>
  </si>
  <si>
    <t>Parque circulando. GTX DI, RX DI, XP DI, LRV DI</t>
  </si>
  <si>
    <t>Yamaha WaveRunner EX / VX (TR-1 1049 cc, 2016+)</t>
  </si>
  <si>
    <t>3 cil., 1049 cc</t>
  </si>
  <si>
    <t>CR9EB</t>
  </si>
  <si>
    <t>Distribuidores PWC (pwcparts, jetskisint)</t>
  </si>
  <si>
    <t>Presencia en Colombia por verificar. Distribuidores PWC la indican como la bujía de fábrica</t>
  </si>
  <si>
    <t>Yamaha WaveRunner VX / FX / V1 de 1.0 L (2004–2012)</t>
  </si>
  <si>
    <t>4 cil., 1052 cc</t>
  </si>
  <si>
    <t>Yamaha WaveRunner FX HO / FX Cruiser / VXR / VXS / FZR / FZS (1.8 L, 2009–2017)</t>
  </si>
  <si>
    <t>4 cil., 1812 cc</t>
  </si>
  <si>
    <t>LFR6A</t>
  </si>
  <si>
    <t>0.9–1.0</t>
  </si>
  <si>
    <t>Yamaha WaveRunner FX SVHO / FZR SVHO (2014–2016)</t>
  </si>
  <si>
    <t>4 cil., 1812 cc sobrealimentado</t>
  </si>
  <si>
    <t>LFR7A</t>
  </si>
  <si>
    <t>Parque circulando. Un rango más frío que la LFR6A</t>
  </si>
  <si>
    <t>Yamaha WaveRunner GP1200R / GP1300R (1999–2008)</t>
  </si>
  <si>
    <t>BR8ES-11</t>
  </si>
  <si>
    <t>Kawasaki Jet Ski STX-15F / Ultra LX (2004 en adelante)</t>
  </si>
  <si>
    <t>CR9EK</t>
  </si>
  <si>
    <t>Presencia en Colombia por verificar. Desde 2016 la tabla indica CR9EKB</t>
  </si>
  <si>
    <t>Kawasaki Jet Ski SX-R 800 / STX 800 (2T, 1992–2011)</t>
  </si>
  <si>
    <t>Parque circulando. Presencia en Colombia por verificar</t>
  </si>
  <si>
    <t>Cotizador de bujías por motor</t>
  </si>
  <si>
    <t>Elige marca y modelo por línea; el libro calcula bujías por motor, precio de lista, descuento e IVA.</t>
  </si>
  <si>
    <t>Cliente</t>
  </si>
  <si>
    <t>Taller Náutico El Remo (ejemplo)</t>
  </si>
  <si>
    <t>Cómo usar: 1) escribe el cliente y elige su tipo  2) en cada línea elige marca y modelo  3) escribe cuántos motores  4) revisa el estado (columna M).</t>
  </si>
  <si>
    <t>Taller</t>
  </si>
  <si>
    <t>La línea 1 es un ejemplo con precio ilustrativo (ver Precios y Stock). Bórrala o sobrescríbela. 'Ajuste manual' sirve cuando el catálogo no trae el número de bujías.</t>
  </si>
  <si>
    <t>Fecha</t>
  </si>
  <si>
    <t>Ajuste manual</t>
  </si>
  <si>
    <t>Nº motores</t>
  </si>
  <si>
    <t>Total bujías</t>
  </si>
  <si>
    <t>Precio de lista</t>
  </si>
  <si>
    <t>Precio manual</t>
  </si>
  <si>
    <t>Precio aplicado</t>
  </si>
  <si>
    <t>Subtotal (COP)</t>
  </si>
  <si>
    <t>Estado</t>
  </si>
  <si>
    <t>Precios en pesos colombianos (COP). Descuento según el tipo de cliente definido en Parámetros.</t>
  </si>
  <si>
    <t>Total de bujías</t>
  </si>
  <si>
    <t>Subtotal bruto</t>
  </si>
  <si>
    <t>Descuento</t>
  </si>
  <si>
    <t>Subtotal neto</t>
  </si>
  <si>
    <t>IVA</t>
  </si>
  <si>
    <t>TOTAL A PAGAR</t>
  </si>
  <si>
    <t>Precios y stock por referencia NGK</t>
  </si>
  <si>
    <t>Una fila por bujía distinta. Escribe tu costo y tu stock actual (celdas amarillas); el resto se calcula con los Parámetros.</t>
  </si>
  <si>
    <t>Modelos en catálogo</t>
  </si>
  <si>
    <t>De ellos, venta actual</t>
  </si>
  <si>
    <t>Costo unitario (COP)</t>
  </si>
  <si>
    <t>Precio de lista (COP)</t>
  </si>
  <si>
    <t>Stock actual (und)</t>
  </si>
  <si>
    <t>Stock mínimo sugerido</t>
  </si>
  <si>
    <t>Reponer (und)</t>
  </si>
  <si>
    <t>Valor a reponer a costo (COP)</t>
  </si>
  <si>
    <t>Ranking de cobertura</t>
  </si>
  <si>
    <t>Estándar</t>
  </si>
  <si>
    <t>Ejemplo: el costo de 15.000 COP para DCPR6E (celda naranja) es solo ilustrativo para mostrar cómo calcula el libro. Reemplázalo con tu costo real.</t>
  </si>
  <si>
    <t>Precio de lista = costo ÷ (1 − margen objetivo), redondeado. El Cotizador toma este precio automáticamente. Mientras no escribas el costo, el precio queda vacío.</t>
  </si>
  <si>
    <t>Stock mínimo sugerido y umbrales de prioridad salen de la hoja Parámetros (supuestos de ejemplo). 'Reponer' trata el stock vacío como cero.</t>
  </si>
  <si>
    <t>Seguimiento de clientes y recompra</t>
  </si>
  <si>
    <t>Registra cada venta con el motor del cliente. El libro calcula cuándo toca el siguiente cambio de bujías y cuál es la referencia.</t>
  </si>
  <si>
    <t>Teléfono / WhatsApp</t>
  </si>
  <si>
    <t>Año / serie</t>
  </si>
  <si>
    <t>Última venta</t>
  </si>
  <si>
    <t>Meses entre cambios</t>
  </si>
  <si>
    <t>Próxima reposición</t>
  </si>
  <si>
    <t>300 000 0000 (ejemplo)</t>
  </si>
  <si>
    <t>2024 / serie ejemplo</t>
  </si>
  <si>
    <t>La fila 5 es un ejemplo (fecha de venta ilustrativa). Déjala de guía o sobrescríbela. 'Meses entre cambios' vacío usa el valor por defecto de Parámetros.</t>
  </si>
  <si>
    <t>Supuestos editables que alimentan el cotizador, los precios y el stock. Todos son de ejemplo: reemplázalos con los tuyos.</t>
  </si>
  <si>
    <t>Precios</t>
  </si>
  <si>
    <t>Supuesto de ejemplo. Precio de lista = costo ÷ (1 − margen).</t>
  </si>
  <si>
    <t>Tarifa general del IVA en Colombia; confirma con tu contador si aplica a estos productos.</t>
  </si>
  <si>
    <t>Redondeo del precio de lista (COP)</t>
  </si>
  <si>
    <t>El precio de lista se redondea al múltiplo más cercano de este valor.</t>
  </si>
  <si>
    <t>Descuento por tipo de cliente (ejemplo)</t>
  </si>
  <si>
    <t>Cliente final</t>
  </si>
  <si>
    <t>Los nombres deben coincidir con la lista desplegable del Cotizador.</t>
  </si>
  <si>
    <t>Supuesto de ejemplo.</t>
  </si>
  <si>
    <t>Mayorista</t>
  </si>
  <si>
    <t>Prioridad de inventario (según cuántos modelos del catálogo usa cada bujía)</t>
  </si>
  <si>
    <t>Prioridad Alta si la bujía la usan al menos (modelos)</t>
  </si>
  <si>
    <t>Con los datos actuales: DCPR6E, LFR6A-11, BKR6E, DPR7EA-9, BPR7HS, LFR5A-11 y LKR6E.</t>
  </si>
  <si>
    <t>Prioridad Media si la usan al menos (modelos)</t>
  </si>
  <si>
    <t>Por debajo de este número, la prioridad es Baja.</t>
  </si>
  <si>
    <t>Stock mínimo sugerido por prioridad (unidades)</t>
  </si>
  <si>
    <t>Supuesto de ejemplo: ajústalo a tu rotación real.</t>
  </si>
  <si>
    <t>Baja</t>
  </si>
  <si>
    <t>Seguimiento de clientes</t>
  </si>
  <si>
    <t>Meses entre cambios de bujía (valor por defecto)</t>
  </si>
  <si>
    <t>Supuesto: confirma el intervalo en el manual de cada motor (se indica en horas o meses) y ajústalo por cliente en Seguimiento.</t>
  </si>
  <si>
    <t>Convención de colores: celdas amarillas con letra azul = se editan; letra negra =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</si>
</sst>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\·"/>
    <numFmt numFmtId="165" formatCode="0.0"/>
    <numFmt numFmtId="166" formatCode="dd/mm/yyyy"/>
    <numFmt numFmtId="167" formatCode="#,##0;\-#,##0;\-"/>
  </numFmts>
  <fonts count="21" x14ac:knownFonts="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563C1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6100"/>
      <name val="Arial"/>
      <charset val="1"/>
    </font>
    <font>
      <sz val="10"/>
      <color rgb="FF9C5700"/>
      <name val="Arial"/>
      <charset val="1"/>
    </font>
    <font>
      <sz val="10"/>
      <color rgb="FF9C0006"/>
      <name val="Arial"/>
      <charset val="1"/>
    </font>
    <font>
      <i/>
      <sz val="9"/>
      <color rgb="FF595959"/>
      <name val="Arial"/>
      <charset val="1"/>
    </font>
    <font>
      <b/>
      <sz val="18"/>
      <color rgb="FF1F3864"/>
      <name val="Arial"/>
      <charset val="1"/>
    </font>
    <font>
      <b/>
      <sz val="24"/>
      <color rgb="FF1F3864"/>
      <name val="Arial"/>
      <charset val="1"/>
    </font>
    <font>
      <b/>
      <sz val="10"/>
      <color rgb="FF000000"/>
      <name val="Arial"/>
      <charset val="1"/>
    </font>
    <font>
      <b/>
      <sz val="10"/>
      <color rgb="FF1F3864"/>
      <name val="Arial"/>
      <charset val="1"/>
    </font>
    <font>
      <sz val="9"/>
      <color rgb="FFFFFFFF"/>
      <name val="Arial"/>
      <charset val="1"/>
    </font>
    <font>
      <b/>
      <sz val="14"/>
      <color rgb="FF1F3864"/>
      <name val="Arial"/>
      <charset val="1"/>
    </font>
    <font>
      <sz val="10"/>
      <color rgb="FF7F7F7F"/>
      <name val="Arial"/>
      <charset val="1"/>
    </font>
    <font>
      <sz val="9"/>
      <color rgb="FF7F7F7F"/>
      <name val="Arial"/>
      <charset val="1"/>
    </font>
    <font>
      <b/>
      <sz val="11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2F6F8F"/>
        <bgColor rgb="FF008080"/>
      </patternFill>
    </fill>
    <fill>
      <patternFill patternType="solid">
        <fgColor rgb="FFFFD966"/>
        <b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0" fillId="2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4" fillId="8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" fontId="13" fillId="3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2" fillId="0" borderId="0" xfId="0" applyFont="1"/>
    <xf numFmtId="0" fontId="14" fillId="3" borderId="1" xfId="0" applyFont="1" applyFill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9" fontId="14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4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9" fillId="0" borderId="0" xfId="0" applyFont="1"/>
    <xf numFmtId="166" fontId="6" fillId="0" borderId="1" xfId="0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3" fontId="14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right"/>
    </xf>
    <xf numFmtId="3" fontId="20" fillId="2" borderId="1" xfId="0" applyNumberFormat="1" applyFont="1" applyFill="1" applyBorder="1" applyAlignment="1">
      <alignment horizontal="right"/>
    </xf>
    <xf numFmtId="3" fontId="7" fillId="9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/>
    <xf numFmtId="3" fontId="14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2" borderId="0" xfId="0" applyFont="1" applyFill="1"/>
    <xf numFmtId="9" fontId="7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7"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595959"/>
        <name val="Arial"/>
        <charset val="1"/>
      </font>
      <fill>
        <patternFill>
          <bgColor rgb="FFEDEDED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595959"/>
        <name val="Arial"/>
        <charset val="1"/>
      </font>
      <fill>
        <patternFill>
          <bgColor rgb="FFEDEDED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F6F8F"/>
      <rgbColor rgb="FFBFBFBF"/>
      <rgbColor rgb="FF7F7F7F"/>
      <rgbColor rgb="FF9999FF"/>
      <rgbColor rgb="FF993366"/>
      <rgbColor rgb="FFFFF2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Bujias_NGK_Fuera_de_Borda_y_Motos_Acuaticas_Colombia.xlsx" TargetMode="External"/><Relationship Id="rId3" Type="http://schemas.openxmlformats.org/officeDocument/2006/relationships/hyperlink" Target="Bujias_NGK_Fuera_de_Borda_y_Motos_Acuaticas_Colombia.xlsx" TargetMode="External"/><Relationship Id="rId7" Type="http://schemas.openxmlformats.org/officeDocument/2006/relationships/hyperlink" Target="Bujias_NGK_Fuera_de_Borda_y_Motos_Acuaticas_Colombia.xlsx" TargetMode="External"/><Relationship Id="rId2" Type="http://schemas.openxmlformats.org/officeDocument/2006/relationships/hyperlink" Target="Bujias_NGK_Fuera_de_Borda_y_Motos_Acuaticas_Colombia.xlsx" TargetMode="External"/><Relationship Id="rId1" Type="http://schemas.openxmlformats.org/officeDocument/2006/relationships/hyperlink" Target="Bujias_NGK_Fuera_de_Borda_y_Motos_Acuaticas_Colombia.xlsx" TargetMode="External"/><Relationship Id="rId6" Type="http://schemas.openxmlformats.org/officeDocument/2006/relationships/hyperlink" Target="Bujias_NGK_Fuera_de_Borda_y_Motos_Acuaticas_Colombia.xlsx" TargetMode="External"/><Relationship Id="rId5" Type="http://schemas.openxmlformats.org/officeDocument/2006/relationships/hyperlink" Target="Bujias_NGK_Fuera_de_Borda_y_Motos_Acuaticas_Colombia.xlsx" TargetMode="External"/><Relationship Id="rId4" Type="http://schemas.openxmlformats.org/officeDocument/2006/relationships/hyperlink" Target="Bujias_NGK_Fuera_de_Borda_y_Motos_Acuaticas_Colombi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D38"/>
  <sheetViews>
    <sheetView showGridLines="0" topLeftCell="A27" zoomScaleNormal="100" workbookViewId="0"/>
  </sheetViews>
  <sheetFormatPr baseColWidth="10" defaultColWidth="8.7109375" defaultRowHeight="15" x14ac:dyDescent="0.25"/>
  <cols>
    <col min="1" max="1" width="2" customWidth="1"/>
    <col min="2" max="2" width="24" customWidth="1"/>
    <col min="3" max="3" width="82" customWidth="1"/>
    <col min="4" max="4" width="24" customWidth="1"/>
  </cols>
  <sheetData>
    <row r="2" spans="2:4" ht="26.25" x14ac:dyDescent="0.4">
      <c r="B2" s="13" t="s">
        <v>0</v>
      </c>
    </row>
    <row r="3" spans="2:4" x14ac:dyDescent="0.25">
      <c r="B3" s="14" t="s">
        <v>1</v>
      </c>
    </row>
    <row r="5" spans="2:4" ht="15.75" x14ac:dyDescent="0.25">
      <c r="B5" s="15" t="s">
        <v>2</v>
      </c>
    </row>
    <row r="6" spans="2:4" x14ac:dyDescent="0.25">
      <c r="B6" s="16" t="s">
        <v>3</v>
      </c>
      <c r="C6" s="16" t="s">
        <v>4</v>
      </c>
      <c r="D6" s="16" t="s">
        <v>5</v>
      </c>
    </row>
    <row r="7" spans="2:4" ht="30" customHeight="1" x14ac:dyDescent="0.25">
      <c r="B7" s="17" t="s">
        <v>6</v>
      </c>
      <c r="C7" s="18" t="s">
        <v>7</v>
      </c>
      <c r="D7" s="18" t="s">
        <v>8</v>
      </c>
    </row>
    <row r="8" spans="2:4" ht="19.5" customHeight="1" x14ac:dyDescent="0.25">
      <c r="B8" s="17" t="s">
        <v>9</v>
      </c>
      <c r="C8" s="18" t="s">
        <v>10</v>
      </c>
      <c r="D8" s="18" t="s">
        <v>11</v>
      </c>
    </row>
    <row r="9" spans="2:4" ht="30" customHeight="1" x14ac:dyDescent="0.25">
      <c r="B9" s="17" t="s">
        <v>12</v>
      </c>
      <c r="C9" s="18" t="s">
        <v>13</v>
      </c>
      <c r="D9" s="18" t="s">
        <v>14</v>
      </c>
    </row>
    <row r="10" spans="2:4" ht="19.5" customHeight="1" x14ac:dyDescent="0.25">
      <c r="B10" s="17" t="s">
        <v>15</v>
      </c>
      <c r="C10" s="18" t="s">
        <v>16</v>
      </c>
      <c r="D10" s="18" t="s">
        <v>17</v>
      </c>
    </row>
    <row r="11" spans="2:4" ht="30" customHeight="1" x14ac:dyDescent="0.25">
      <c r="B11" s="17" t="s">
        <v>18</v>
      </c>
      <c r="C11" s="18" t="s">
        <v>19</v>
      </c>
      <c r="D11" s="18" t="s">
        <v>20</v>
      </c>
    </row>
    <row r="12" spans="2:4" ht="19.5" customHeight="1" x14ac:dyDescent="0.25">
      <c r="B12" s="17" t="s">
        <v>21</v>
      </c>
      <c r="C12" s="18" t="s">
        <v>22</v>
      </c>
      <c r="D12" s="18" t="s">
        <v>23</v>
      </c>
    </row>
    <row r="13" spans="2:4" ht="19.5" customHeight="1" x14ac:dyDescent="0.25">
      <c r="B13" s="17" t="s">
        <v>24</v>
      </c>
      <c r="C13" s="18" t="s">
        <v>25</v>
      </c>
      <c r="D13" s="18" t="s">
        <v>20</v>
      </c>
    </row>
    <row r="14" spans="2:4" ht="19.5" customHeight="1" x14ac:dyDescent="0.25">
      <c r="B14" s="17" t="s">
        <v>26</v>
      </c>
      <c r="C14" s="18" t="s">
        <v>27</v>
      </c>
      <c r="D14" s="18" t="s">
        <v>28</v>
      </c>
    </row>
    <row r="16" spans="2:4" ht="15.75" x14ac:dyDescent="0.25">
      <c r="B16" s="15" t="s">
        <v>29</v>
      </c>
    </row>
    <row r="17" spans="2:4" x14ac:dyDescent="0.25">
      <c r="B17" s="19" t="s">
        <v>30</v>
      </c>
      <c r="C17" s="20" t="s">
        <v>31</v>
      </c>
    </row>
    <row r="18" spans="2:4" x14ac:dyDescent="0.25">
      <c r="B18" s="21" t="s">
        <v>32</v>
      </c>
      <c r="C18" s="20" t="s">
        <v>33</v>
      </c>
    </row>
    <row r="19" spans="2:4" x14ac:dyDescent="0.25">
      <c r="B19" s="22" t="s">
        <v>34</v>
      </c>
      <c r="C19" s="20" t="s">
        <v>35</v>
      </c>
    </row>
    <row r="20" spans="2:4" x14ac:dyDescent="0.25">
      <c r="B20" s="23" t="s">
        <v>36</v>
      </c>
      <c r="C20" s="20" t="s">
        <v>37</v>
      </c>
    </row>
    <row r="21" spans="2:4" x14ac:dyDescent="0.25">
      <c r="B21" s="24" t="s">
        <v>38</v>
      </c>
      <c r="C21" s="20" t="s">
        <v>39</v>
      </c>
    </row>
    <row r="23" spans="2:4" ht="15.75" x14ac:dyDescent="0.25">
      <c r="B23" s="15" t="s">
        <v>40</v>
      </c>
    </row>
    <row r="24" spans="2:4" ht="19.5" customHeight="1" x14ac:dyDescent="0.25">
      <c r="B24" s="25" t="s">
        <v>41</v>
      </c>
      <c r="C24" s="12" t="s">
        <v>42</v>
      </c>
      <c r="D24" s="12"/>
    </row>
    <row r="25" spans="2:4" ht="19.5" customHeight="1" x14ac:dyDescent="0.25">
      <c r="B25" s="25" t="s">
        <v>43</v>
      </c>
      <c r="C25" s="12" t="s">
        <v>44</v>
      </c>
      <c r="D25" s="12"/>
    </row>
    <row r="26" spans="2:4" ht="19.5" customHeight="1" x14ac:dyDescent="0.25">
      <c r="B26" s="25" t="s">
        <v>45</v>
      </c>
      <c r="C26" s="12" t="s">
        <v>46</v>
      </c>
      <c r="D26" s="12"/>
    </row>
    <row r="27" spans="2:4" ht="19.5" customHeight="1" x14ac:dyDescent="0.25">
      <c r="B27" s="25" t="s">
        <v>47</v>
      </c>
      <c r="C27" s="12" t="s">
        <v>48</v>
      </c>
      <c r="D27" s="12"/>
    </row>
    <row r="28" spans="2:4" ht="30" customHeight="1" x14ac:dyDescent="0.25">
      <c r="B28" s="25" t="s">
        <v>49</v>
      </c>
      <c r="C28" s="12" t="s">
        <v>50</v>
      </c>
      <c r="D28" s="12"/>
    </row>
    <row r="29" spans="2:4" ht="19.5" customHeight="1" x14ac:dyDescent="0.25">
      <c r="B29" s="25" t="s">
        <v>51</v>
      </c>
      <c r="C29" s="12" t="s">
        <v>52</v>
      </c>
      <c r="D29" s="12"/>
    </row>
    <row r="31" spans="2:4" ht="15.75" x14ac:dyDescent="0.25">
      <c r="B31" s="15" t="s">
        <v>53</v>
      </c>
    </row>
    <row r="32" spans="2:4" ht="15" customHeight="1" x14ac:dyDescent="0.25">
      <c r="B32" s="11" t="s">
        <v>54</v>
      </c>
      <c r="C32" s="11"/>
      <c r="D32" s="11"/>
    </row>
    <row r="33" spans="2:4" ht="15" customHeight="1" x14ac:dyDescent="0.25">
      <c r="B33" s="11" t="s">
        <v>55</v>
      </c>
      <c r="C33" s="11"/>
      <c r="D33" s="11"/>
    </row>
    <row r="34" spans="2:4" ht="15" customHeight="1" x14ac:dyDescent="0.25">
      <c r="B34" s="11" t="s">
        <v>56</v>
      </c>
      <c r="C34" s="11"/>
      <c r="D34" s="11"/>
    </row>
    <row r="35" spans="2:4" ht="15" customHeight="1" x14ac:dyDescent="0.25">
      <c r="B35" s="11" t="s">
        <v>57</v>
      </c>
      <c r="C35" s="11"/>
      <c r="D35" s="11"/>
    </row>
    <row r="36" spans="2:4" ht="15" customHeight="1" x14ac:dyDescent="0.25">
      <c r="B36" s="11" t="s">
        <v>58</v>
      </c>
      <c r="C36" s="11"/>
      <c r="D36" s="11"/>
    </row>
    <row r="38" spans="2:4" ht="30" customHeight="1" x14ac:dyDescent="0.25">
      <c r="B38" s="10" t="s">
        <v>59</v>
      </c>
      <c r="C38" s="10"/>
      <c r="D38" s="10"/>
    </row>
  </sheetData>
  <mergeCells count="12">
    <mergeCell ref="B36:D36"/>
    <mergeCell ref="B38:D38"/>
    <mergeCell ref="C29:D29"/>
    <mergeCell ref="B32:D32"/>
    <mergeCell ref="B33:D33"/>
    <mergeCell ref="B34:D34"/>
    <mergeCell ref="B35:D35"/>
    <mergeCell ref="C24:D24"/>
    <mergeCell ref="C25:D25"/>
    <mergeCell ref="C26:D26"/>
    <mergeCell ref="C27:D27"/>
    <mergeCell ref="C28:D28"/>
  </mergeCells>
  <hyperlinks>
    <hyperlink ref="B7" r:id="rId1" location="'Informe'!A1" xr:uid="{00000000-0004-0000-0000-000000000000}"/>
    <hyperlink ref="B8" r:id="rId2" location="'Plan%20de%20ventas'!A1" xr:uid="{00000000-0004-0000-0000-000001000000}"/>
    <hyperlink ref="B9" r:id="rId3" location="'Consulta'!A1" xr:uid="{00000000-0004-0000-0000-000002000000}"/>
    <hyperlink ref="B10" r:id="rId4" location="'Catálogo'!A1" xr:uid="{00000000-0004-0000-0000-000003000000}"/>
    <hyperlink ref="B11" r:id="rId5" location="'Cotizador'!A1" xr:uid="{00000000-0004-0000-0000-000004000000}"/>
    <hyperlink ref="B12" r:id="rId6" location="'Precios%20y%20Stock'!A1" xr:uid="{00000000-0004-0000-0000-000005000000}"/>
    <hyperlink ref="B13" r:id="rId7" location="'Seguimiento'!A1" xr:uid="{00000000-0004-0000-0000-000006000000}"/>
    <hyperlink ref="B14" r:id="rId8" location="'Parámetros'!A1" xr:uid="{00000000-0004-0000-0000-000007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B1:J46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2" customWidth="1"/>
    <col min="3" max="3" width="15" customWidth="1"/>
    <col min="4" max="10" width="14" customWidth="1"/>
  </cols>
  <sheetData>
    <row r="1" spans="2:9" ht="23.25" x14ac:dyDescent="0.35">
      <c r="B1" s="27" t="s">
        <v>60</v>
      </c>
    </row>
    <row r="2" spans="2:9" x14ac:dyDescent="0.25">
      <c r="B2" s="14" t="s">
        <v>61</v>
      </c>
    </row>
    <row r="4" spans="2:9" ht="19.5" customHeight="1" x14ac:dyDescent="0.25">
      <c r="B4" s="9" t="s">
        <v>62</v>
      </c>
      <c r="C4" s="9"/>
      <c r="D4" s="9" t="s">
        <v>63</v>
      </c>
      <c r="E4" s="9"/>
      <c r="F4" s="9" t="s">
        <v>64</v>
      </c>
      <c r="G4" s="9"/>
      <c r="H4" s="9" t="s">
        <v>65</v>
      </c>
      <c r="I4" s="9"/>
    </row>
    <row r="5" spans="2:9" ht="39.75" customHeight="1" x14ac:dyDescent="0.25">
      <c r="B5" s="8">
        <f>COUNTA(Catálogo!$B$5:$B$126)</f>
        <v>122</v>
      </c>
      <c r="C5" s="8"/>
      <c r="D5" s="8">
        <f>COUNTA('Precios y Stock'!$A$5:$A$56)</f>
        <v>52</v>
      </c>
      <c r="E5" s="8"/>
      <c r="F5" s="8">
        <f>COUNTIF(Catálogo!$I$5:$I$126,"Venta actual")</f>
        <v>49</v>
      </c>
      <c r="G5" s="8"/>
      <c r="H5" s="7">
        <f>COUNTIF(Catálogo!$J$5:$J$126,"Confirmado")/COUNTA(Catálogo!$B$5:$B$126)</f>
        <v>0.75409836065573765</v>
      </c>
      <c r="I5" s="7"/>
    </row>
    <row r="6" spans="2:9" ht="18" customHeight="1" x14ac:dyDescent="0.25">
      <c r="B6" s="6" t="s">
        <v>66</v>
      </c>
      <c r="C6" s="6"/>
      <c r="D6" s="6" t="s">
        <v>67</v>
      </c>
      <c r="E6" s="6"/>
      <c r="F6" s="6" t="s">
        <v>68</v>
      </c>
      <c r="G6" s="6"/>
      <c r="H6" s="6" t="s">
        <v>69</v>
      </c>
      <c r="I6" s="6"/>
    </row>
    <row r="8" spans="2:9" ht="15.75" x14ac:dyDescent="0.25">
      <c r="B8" s="15" t="s">
        <v>70</v>
      </c>
    </row>
    <row r="9" spans="2:9" ht="30" customHeight="1" x14ac:dyDescent="0.25">
      <c r="B9" s="16" t="s">
        <v>71</v>
      </c>
      <c r="C9" s="16" t="s">
        <v>72</v>
      </c>
      <c r="D9" s="16" t="s">
        <v>73</v>
      </c>
      <c r="E9" s="16" t="s">
        <v>74</v>
      </c>
      <c r="F9" s="16" t="s">
        <v>75</v>
      </c>
      <c r="G9" s="16" t="s">
        <v>65</v>
      </c>
      <c r="H9" s="16" t="s">
        <v>76</v>
      </c>
    </row>
    <row r="10" spans="2:9" x14ac:dyDescent="0.25">
      <c r="B10" s="28" t="s">
        <v>77</v>
      </c>
      <c r="C10" s="29">
        <f>COUNTIF(Catálogo!$A$5:$A$126,B10)</f>
        <v>32</v>
      </c>
      <c r="D10" s="29">
        <f>COUNTIFS(Catálogo!$A$5:$A$126,B10,Catálogo!$C$5:$C$126,"4T")</f>
        <v>23</v>
      </c>
      <c r="E10" s="29">
        <f>COUNTIFS(Catálogo!$A$5:$A$126,B10,Catálogo!$C$5:$C$126,"2T")</f>
        <v>9</v>
      </c>
      <c r="F10" s="29">
        <f>COUNTIFS(Catálogo!$A$5:$A$126,B10,Catálogo!$I$5:$I$126,"Venta actual")</f>
        <v>12</v>
      </c>
      <c r="G10" s="30">
        <f>COUNTIFS(Catálogo!$A$5:$A$126,B10,Catálogo!$J$5:$J$126,"Confirmado")/C10</f>
        <v>1</v>
      </c>
      <c r="H10" s="29">
        <f>SUMPRODUCT((Catálogo!$A$5:$A$126=B10)/COUNTIFS(Catálogo!$A$5:$A$126,Catálogo!$A$5:$A$126,Catálogo!$E$5:$E$126,Catálogo!$E$5:$E$126))</f>
        <v>14.999999999999998</v>
      </c>
    </row>
    <row r="11" spans="2:9" x14ac:dyDescent="0.25">
      <c r="B11" s="28" t="s">
        <v>78</v>
      </c>
      <c r="C11" s="29">
        <f>COUNTIF(Catálogo!$A$5:$A$126,B11)</f>
        <v>28</v>
      </c>
      <c r="D11" s="29">
        <f>COUNTIFS(Catálogo!$A$5:$A$126,B11,Catálogo!$C$5:$C$126,"4T")</f>
        <v>19</v>
      </c>
      <c r="E11" s="29">
        <f>COUNTIFS(Catálogo!$A$5:$A$126,B11,Catálogo!$C$5:$C$126,"2T")</f>
        <v>9</v>
      </c>
      <c r="F11" s="29">
        <f>COUNTIFS(Catálogo!$A$5:$A$126,B11,Catálogo!$I$5:$I$126,"Venta actual")</f>
        <v>17</v>
      </c>
      <c r="G11" s="30">
        <f>COUNTIFS(Catálogo!$A$5:$A$126,B11,Catálogo!$J$5:$J$126,"Confirmado")/C11</f>
        <v>0.6071428571428571</v>
      </c>
      <c r="H11" s="29">
        <f>SUMPRODUCT((Catálogo!$A$5:$A$126=B11)/COUNTIFS(Catálogo!$A$5:$A$126,Catálogo!$A$5:$A$126,Catálogo!$E$5:$E$126,Catálogo!$E$5:$E$126))</f>
        <v>12.000000000000004</v>
      </c>
    </row>
    <row r="12" spans="2:9" x14ac:dyDescent="0.25">
      <c r="B12" s="28" t="s">
        <v>79</v>
      </c>
      <c r="C12" s="29">
        <f>COUNTIF(Catálogo!$A$5:$A$126,B12)</f>
        <v>26</v>
      </c>
      <c r="D12" s="29">
        <f>COUNTIFS(Catálogo!$A$5:$A$126,B12,Catálogo!$C$5:$C$126,"4T")</f>
        <v>14</v>
      </c>
      <c r="E12" s="29">
        <f>COUNTIFS(Catálogo!$A$5:$A$126,B12,Catálogo!$C$5:$C$126,"2T")</f>
        <v>12</v>
      </c>
      <c r="F12" s="29">
        <f>COUNTIFS(Catálogo!$A$5:$A$126,B12,Catálogo!$I$5:$I$126,"Venta actual")</f>
        <v>0</v>
      </c>
      <c r="G12" s="30">
        <f>COUNTIFS(Catálogo!$A$5:$A$126,B12,Catálogo!$J$5:$J$126,"Confirmado")/C12</f>
        <v>0.96153846153846156</v>
      </c>
      <c r="H12" s="29">
        <f>SUMPRODUCT((Catálogo!$A$5:$A$126=B12)/COUNTIFS(Catálogo!$A$5:$A$126,Catálogo!$A$5:$A$126,Catálogo!$E$5:$E$126,Catálogo!$E$5:$E$126))</f>
        <v>18</v>
      </c>
    </row>
    <row r="13" spans="2:9" x14ac:dyDescent="0.25">
      <c r="B13" s="28" t="s">
        <v>80</v>
      </c>
      <c r="C13" s="29">
        <f>COUNTIF(Catálogo!$A$5:$A$126,B13)</f>
        <v>20</v>
      </c>
      <c r="D13" s="29">
        <f>COUNTIFS(Catálogo!$A$5:$A$126,B13,Catálogo!$C$5:$C$126,"4T")</f>
        <v>12</v>
      </c>
      <c r="E13" s="29">
        <f>COUNTIFS(Catálogo!$A$5:$A$126,B13,Catálogo!$C$5:$C$126,"2T")</f>
        <v>8</v>
      </c>
      <c r="F13" s="29">
        <f>COUNTIFS(Catálogo!$A$5:$A$126,B13,Catálogo!$I$5:$I$126,"Venta actual")</f>
        <v>15</v>
      </c>
      <c r="G13" s="30">
        <f>COUNTIFS(Catálogo!$A$5:$A$126,B13,Catálogo!$J$5:$J$126,"Confirmado")/C13</f>
        <v>0.7</v>
      </c>
      <c r="H13" s="29">
        <f>SUMPRODUCT((Catálogo!$A$5:$A$126=B13)/COUNTIFS(Catálogo!$A$5:$A$126,Catálogo!$A$5:$A$126,Catálogo!$E$5:$E$126,Catálogo!$E$5:$E$126))</f>
        <v>9</v>
      </c>
    </row>
    <row r="14" spans="2:9" x14ac:dyDescent="0.25">
      <c r="B14" s="28" t="s">
        <v>81</v>
      </c>
      <c r="C14" s="29">
        <f>COUNTIF(Catálogo!$A$5:$A$126,B14)</f>
        <v>16</v>
      </c>
      <c r="D14" s="29">
        <f>COUNTIFS(Catálogo!$A$5:$A$126,B14,Catálogo!$C$5:$C$126,"4T")</f>
        <v>12</v>
      </c>
      <c r="E14" s="29">
        <f>COUNTIFS(Catálogo!$A$5:$A$126,B14,Catálogo!$C$5:$C$126,"2T")</f>
        <v>4</v>
      </c>
      <c r="F14" s="29">
        <f>COUNTIFS(Catálogo!$A$5:$A$126,B14,Catálogo!$I$5:$I$126,"Venta actual")</f>
        <v>5</v>
      </c>
      <c r="G14" s="30">
        <f>COUNTIFS(Catálogo!$A$5:$A$126,B14,Catálogo!$J$5:$J$126,"Confirmado")/C14</f>
        <v>0.25</v>
      </c>
      <c r="H14" s="29">
        <f>SUMPRODUCT((Catálogo!$A$5:$A$126=B14)/COUNTIFS(Catálogo!$A$5:$A$126,Catálogo!$A$5:$A$126,Catálogo!$E$5:$E$126,Catálogo!$E$5:$E$126))</f>
        <v>10</v>
      </c>
    </row>
    <row r="15" spans="2:9" x14ac:dyDescent="0.25">
      <c r="B15" s="28" t="s">
        <v>82</v>
      </c>
      <c r="C15" s="31">
        <f>SUM(C10:C14)</f>
        <v>122</v>
      </c>
      <c r="D15" s="31">
        <f>SUM(D10:D14)</f>
        <v>80</v>
      </c>
      <c r="E15" s="31">
        <f>SUM(E10:E14)</f>
        <v>42</v>
      </c>
      <c r="F15" s="31">
        <f>SUM(F10:F14)</f>
        <v>49</v>
      </c>
      <c r="G15" s="32">
        <f>COUNTIF(Catálogo!$J$5:$J$126,"Confirmado")/C15</f>
        <v>0.75409836065573765</v>
      </c>
      <c r="H15" s="31">
        <f>COUNTA('Precios y Stock'!$A$5:$A$56)</f>
        <v>52</v>
      </c>
    </row>
    <row r="16" spans="2:9" x14ac:dyDescent="0.25">
      <c r="B16" s="33" t="s">
        <v>83</v>
      </c>
    </row>
    <row r="17" spans="2:10" ht="15.75" x14ac:dyDescent="0.25">
      <c r="B17" s="15" t="s">
        <v>84</v>
      </c>
    </row>
    <row r="18" spans="2:10" ht="30" customHeight="1" x14ac:dyDescent="0.25">
      <c r="B18" s="16" t="s">
        <v>85</v>
      </c>
      <c r="C18" s="16" t="s">
        <v>86</v>
      </c>
      <c r="D18" s="16" t="s">
        <v>77</v>
      </c>
      <c r="E18" s="16" t="s">
        <v>78</v>
      </c>
      <c r="F18" s="16" t="s">
        <v>79</v>
      </c>
      <c r="G18" s="16" t="s">
        <v>80</v>
      </c>
      <c r="H18" s="16" t="s">
        <v>81</v>
      </c>
      <c r="I18" s="16" t="s">
        <v>87</v>
      </c>
      <c r="J18" s="16" t="s">
        <v>88</v>
      </c>
    </row>
    <row r="19" spans="2:10" x14ac:dyDescent="0.25">
      <c r="B19" s="34" t="str">
        <f>INDEX('Precios y Stock'!$A$5:$A$56,MATCH(1,'Precios y Stock'!$L$5:$L$56,0))</f>
        <v>DCPR6E</v>
      </c>
      <c r="C19" s="29">
        <f>INDEX('Precios y Stock'!$C$5:$C$56,MATCH(1,'Precios y Stock'!$L$5:$L$56,0))</f>
        <v>8</v>
      </c>
      <c r="D19" s="35">
        <f>COUNTIFS(Catálogo!$E$5:$E$126,$B19,Catálogo!$A$5:$A$126,"Suzuki")</f>
        <v>5</v>
      </c>
      <c r="E19" s="35">
        <f>COUNTIFS(Catálogo!$E$5:$E$126,$B19,Catálogo!$A$5:$A$126,"Yamaha")</f>
        <v>0</v>
      </c>
      <c r="F19" s="35">
        <f>COUNTIFS(Catálogo!$E$5:$E$126,$B19,Catálogo!$A$5:$A$126,"Mercury")</f>
        <v>3</v>
      </c>
      <c r="G19" s="35">
        <f>COUNTIFS(Catálogo!$E$5:$E$126,$B19,Catálogo!$A$5:$A$126,"Parsun")</f>
        <v>0</v>
      </c>
      <c r="H19" s="35">
        <f>COUNTIFS(Catálogo!$E$5:$E$126,$B19,Catálogo!$A$5:$A$126,"Acuáticas")</f>
        <v>0</v>
      </c>
      <c r="I19" s="21" t="str">
        <f>INDEX('Precios y Stock'!$E$5:$E$56,MATCH(1,'Precios y Stock'!$L$5:$L$56,0))</f>
        <v>Alta</v>
      </c>
      <c r="J19" s="30">
        <f t="shared" ref="J19:J29" si="0">C19/$C$15</f>
        <v>6.5573770491803282E-2</v>
      </c>
    </row>
    <row r="20" spans="2:10" x14ac:dyDescent="0.25">
      <c r="B20" s="34" t="str">
        <f>INDEX('Precios y Stock'!$A$5:$A$56,MATCH(2,'Precios y Stock'!$L$5:$L$56,0))</f>
        <v>LFR6A-11</v>
      </c>
      <c r="C20" s="29">
        <f>INDEX('Precios y Stock'!$C$5:$C$56,MATCH(2,'Precios y Stock'!$L$5:$L$56,0))</f>
        <v>8</v>
      </c>
      <c r="D20" s="35">
        <f>COUNTIFS(Catálogo!$E$5:$E$126,$B20,Catálogo!$A$5:$A$126,"Suzuki")</f>
        <v>0</v>
      </c>
      <c r="E20" s="35">
        <f>COUNTIFS(Catálogo!$E$5:$E$126,$B20,Catálogo!$A$5:$A$126,"Yamaha")</f>
        <v>7</v>
      </c>
      <c r="F20" s="35">
        <f>COUNTIFS(Catálogo!$E$5:$E$126,$B20,Catálogo!$A$5:$A$126,"Mercury")</f>
        <v>1</v>
      </c>
      <c r="G20" s="35">
        <f>COUNTIFS(Catálogo!$E$5:$E$126,$B20,Catálogo!$A$5:$A$126,"Parsun")</f>
        <v>0</v>
      </c>
      <c r="H20" s="35">
        <f>COUNTIFS(Catálogo!$E$5:$E$126,$B20,Catálogo!$A$5:$A$126,"Acuáticas")</f>
        <v>0</v>
      </c>
      <c r="I20" s="21" t="str">
        <f>INDEX('Precios y Stock'!$E$5:$E$56,MATCH(2,'Precios y Stock'!$L$5:$L$56,0))</f>
        <v>Alta</v>
      </c>
      <c r="J20" s="30">
        <f t="shared" si="0"/>
        <v>6.5573770491803282E-2</v>
      </c>
    </row>
    <row r="21" spans="2:10" x14ac:dyDescent="0.25">
      <c r="B21" s="34" t="str">
        <f>INDEX('Precios y Stock'!$A$5:$A$56,MATCH(3,'Precios y Stock'!$L$5:$L$56,0))</f>
        <v>BKR6E</v>
      </c>
      <c r="C21" s="29">
        <f>INDEX('Precios y Stock'!$C$5:$C$56,MATCH(3,'Precios y Stock'!$L$5:$L$56,0))</f>
        <v>6</v>
      </c>
      <c r="D21" s="35">
        <f>COUNTIFS(Catálogo!$E$5:$E$126,$B21,Catálogo!$A$5:$A$126,"Suzuki")</f>
        <v>6</v>
      </c>
      <c r="E21" s="35">
        <f>COUNTIFS(Catálogo!$E$5:$E$126,$B21,Catálogo!$A$5:$A$126,"Yamaha")</f>
        <v>0</v>
      </c>
      <c r="F21" s="35">
        <f>COUNTIFS(Catálogo!$E$5:$E$126,$B21,Catálogo!$A$5:$A$126,"Mercury")</f>
        <v>0</v>
      </c>
      <c r="G21" s="35">
        <f>COUNTIFS(Catálogo!$E$5:$E$126,$B21,Catálogo!$A$5:$A$126,"Parsun")</f>
        <v>0</v>
      </c>
      <c r="H21" s="35">
        <f>COUNTIFS(Catálogo!$E$5:$E$126,$B21,Catálogo!$A$5:$A$126,"Acuáticas")</f>
        <v>0</v>
      </c>
      <c r="I21" s="21" t="str">
        <f>INDEX('Precios y Stock'!$E$5:$E$56,MATCH(3,'Precios y Stock'!$L$5:$L$56,0))</f>
        <v>Alta</v>
      </c>
      <c r="J21" s="30">
        <f t="shared" si="0"/>
        <v>4.9180327868852458E-2</v>
      </c>
    </row>
    <row r="22" spans="2:10" x14ac:dyDescent="0.25">
      <c r="B22" s="34" t="str">
        <f>INDEX('Precios y Stock'!$A$5:$A$56,MATCH(4,'Precios y Stock'!$L$5:$L$56,0))</f>
        <v>DPR7EA-9</v>
      </c>
      <c r="C22" s="29">
        <f>INDEX('Precios y Stock'!$C$5:$C$56,MATCH(4,'Precios y Stock'!$L$5:$L$56,0))</f>
        <v>6</v>
      </c>
      <c r="D22" s="35">
        <f>COUNTIFS(Catálogo!$E$5:$E$126,$B22,Catálogo!$A$5:$A$126,"Suzuki")</f>
        <v>0</v>
      </c>
      <c r="E22" s="35">
        <f>COUNTIFS(Catálogo!$E$5:$E$126,$B22,Catálogo!$A$5:$A$126,"Yamaha")</f>
        <v>0</v>
      </c>
      <c r="F22" s="35">
        <f>COUNTIFS(Catálogo!$E$5:$E$126,$B22,Catálogo!$A$5:$A$126,"Mercury")</f>
        <v>0</v>
      </c>
      <c r="G22" s="35">
        <f>COUNTIFS(Catálogo!$E$5:$E$126,$B22,Catálogo!$A$5:$A$126,"Parsun")</f>
        <v>6</v>
      </c>
      <c r="H22" s="35">
        <f>COUNTIFS(Catálogo!$E$5:$E$126,$B22,Catálogo!$A$5:$A$126,"Acuáticas")</f>
        <v>0</v>
      </c>
      <c r="I22" s="21" t="str">
        <f>INDEX('Precios y Stock'!$E$5:$E$56,MATCH(4,'Precios y Stock'!$L$5:$L$56,0))</f>
        <v>Alta</v>
      </c>
      <c r="J22" s="30">
        <f t="shared" si="0"/>
        <v>4.9180327868852458E-2</v>
      </c>
    </row>
    <row r="23" spans="2:10" x14ac:dyDescent="0.25">
      <c r="B23" s="34" t="str">
        <f>INDEX('Precios y Stock'!$A$5:$A$56,MATCH(5,'Precios y Stock'!$L$5:$L$56,0))</f>
        <v>BPR7HS</v>
      </c>
      <c r="C23" s="29">
        <f>INDEX('Precios y Stock'!$C$5:$C$56,MATCH(5,'Precios y Stock'!$L$5:$L$56,0))</f>
        <v>5</v>
      </c>
      <c r="D23" s="35">
        <f>COUNTIFS(Catálogo!$E$5:$E$126,$B23,Catálogo!$A$5:$A$126,"Suzuki")</f>
        <v>0</v>
      </c>
      <c r="E23" s="35">
        <f>COUNTIFS(Catálogo!$E$5:$E$126,$B23,Catálogo!$A$5:$A$126,"Yamaha")</f>
        <v>0</v>
      </c>
      <c r="F23" s="35">
        <f>COUNTIFS(Catálogo!$E$5:$E$126,$B23,Catálogo!$A$5:$A$126,"Mercury")</f>
        <v>0</v>
      </c>
      <c r="G23" s="35">
        <f>COUNTIFS(Catálogo!$E$5:$E$126,$B23,Catálogo!$A$5:$A$126,"Parsun")</f>
        <v>5</v>
      </c>
      <c r="H23" s="35">
        <f>COUNTIFS(Catálogo!$E$5:$E$126,$B23,Catálogo!$A$5:$A$126,"Acuáticas")</f>
        <v>0</v>
      </c>
      <c r="I23" s="21" t="str">
        <f>INDEX('Precios y Stock'!$E$5:$E$56,MATCH(5,'Precios y Stock'!$L$5:$L$56,0))</f>
        <v>Alta</v>
      </c>
      <c r="J23" s="30">
        <f t="shared" si="0"/>
        <v>4.0983606557377046E-2</v>
      </c>
    </row>
    <row r="24" spans="2:10" x14ac:dyDescent="0.25">
      <c r="B24" s="34" t="str">
        <f>INDEX('Precios y Stock'!$A$5:$A$56,MATCH(6,'Precios y Stock'!$L$5:$L$56,0))</f>
        <v>LFR5A-11</v>
      </c>
      <c r="C24" s="29">
        <f>INDEX('Precios y Stock'!$C$5:$C$56,MATCH(6,'Precios y Stock'!$L$5:$L$56,0))</f>
        <v>5</v>
      </c>
      <c r="D24" s="35">
        <f>COUNTIFS(Catálogo!$E$5:$E$126,$B24,Catálogo!$A$5:$A$126,"Suzuki")</f>
        <v>0</v>
      </c>
      <c r="E24" s="35">
        <f>COUNTIFS(Catálogo!$E$5:$E$126,$B24,Catálogo!$A$5:$A$126,"Yamaha")</f>
        <v>3</v>
      </c>
      <c r="F24" s="35">
        <f>COUNTIFS(Catálogo!$E$5:$E$126,$B24,Catálogo!$A$5:$A$126,"Mercury")</f>
        <v>2</v>
      </c>
      <c r="G24" s="35">
        <f>COUNTIFS(Catálogo!$E$5:$E$126,$B24,Catálogo!$A$5:$A$126,"Parsun")</f>
        <v>0</v>
      </c>
      <c r="H24" s="35">
        <f>COUNTIFS(Catálogo!$E$5:$E$126,$B24,Catálogo!$A$5:$A$126,"Acuáticas")</f>
        <v>0</v>
      </c>
      <c r="I24" s="21" t="str">
        <f>INDEX('Precios y Stock'!$E$5:$E$56,MATCH(6,'Precios y Stock'!$L$5:$L$56,0))</f>
        <v>Alta</v>
      </c>
      <c r="J24" s="30">
        <f t="shared" si="0"/>
        <v>4.0983606557377046E-2</v>
      </c>
    </row>
    <row r="25" spans="2:10" x14ac:dyDescent="0.25">
      <c r="B25" s="34" t="str">
        <f>INDEX('Precios y Stock'!$A$5:$A$56,MATCH(7,'Precios y Stock'!$L$5:$L$56,0))</f>
        <v>LKR6E</v>
      </c>
      <c r="C25" s="29">
        <f>INDEX('Precios y Stock'!$C$5:$C$56,MATCH(7,'Precios y Stock'!$L$5:$L$56,0))</f>
        <v>5</v>
      </c>
      <c r="D25" s="35">
        <f>COUNTIFS(Catálogo!$E$5:$E$126,$B25,Catálogo!$A$5:$A$126,"Suzuki")</f>
        <v>3</v>
      </c>
      <c r="E25" s="35">
        <f>COUNTIFS(Catálogo!$E$5:$E$126,$B25,Catálogo!$A$5:$A$126,"Yamaha")</f>
        <v>1</v>
      </c>
      <c r="F25" s="35">
        <f>COUNTIFS(Catálogo!$E$5:$E$126,$B25,Catálogo!$A$5:$A$126,"Mercury")</f>
        <v>0</v>
      </c>
      <c r="G25" s="35">
        <f>COUNTIFS(Catálogo!$E$5:$E$126,$B25,Catálogo!$A$5:$A$126,"Parsun")</f>
        <v>1</v>
      </c>
      <c r="H25" s="35">
        <f>COUNTIFS(Catálogo!$E$5:$E$126,$B25,Catálogo!$A$5:$A$126,"Acuáticas")</f>
        <v>0</v>
      </c>
      <c r="I25" s="21" t="str">
        <f>INDEX('Precios y Stock'!$E$5:$E$56,MATCH(7,'Precios y Stock'!$L$5:$L$56,0))</f>
        <v>Alta</v>
      </c>
      <c r="J25" s="30">
        <f t="shared" si="0"/>
        <v>4.0983606557377046E-2</v>
      </c>
    </row>
    <row r="26" spans="2:10" x14ac:dyDescent="0.25">
      <c r="B26" s="34" t="str">
        <f>INDEX('Precios y Stock'!$A$5:$A$56,MATCH(8,'Precios y Stock'!$L$5:$L$56,0))</f>
        <v>BPZ8H-N-10</v>
      </c>
      <c r="C26" s="29">
        <f>INDEX('Precios y Stock'!$C$5:$C$56,MATCH(8,'Precios y Stock'!$L$5:$L$56,0))</f>
        <v>4</v>
      </c>
      <c r="D26" s="35">
        <f>COUNTIFS(Catálogo!$E$5:$E$126,$B26,Catálogo!$A$5:$A$126,"Suzuki")</f>
        <v>0</v>
      </c>
      <c r="E26" s="35">
        <f>COUNTIFS(Catálogo!$E$5:$E$126,$B26,Catálogo!$A$5:$A$126,"Yamaha")</f>
        <v>0</v>
      </c>
      <c r="F26" s="35">
        <f>COUNTIFS(Catálogo!$E$5:$E$126,$B26,Catálogo!$A$5:$A$126,"Mercury")</f>
        <v>4</v>
      </c>
      <c r="G26" s="35">
        <f>COUNTIFS(Catálogo!$E$5:$E$126,$B26,Catálogo!$A$5:$A$126,"Parsun")</f>
        <v>0</v>
      </c>
      <c r="H26" s="35">
        <f>COUNTIFS(Catálogo!$E$5:$E$126,$B26,Catálogo!$A$5:$A$126,"Acuáticas")</f>
        <v>0</v>
      </c>
      <c r="I26" s="21" t="str">
        <f>INDEX('Precios y Stock'!$E$5:$E$56,MATCH(8,'Precios y Stock'!$L$5:$L$56,0))</f>
        <v>Media</v>
      </c>
      <c r="J26" s="30">
        <f t="shared" si="0"/>
        <v>3.2786885245901641E-2</v>
      </c>
    </row>
    <row r="27" spans="2:10" x14ac:dyDescent="0.25">
      <c r="B27" s="34" t="str">
        <f>INDEX('Precios y Stock'!$A$5:$A$56,MATCH(9,'Precios y Stock'!$L$5:$L$56,0))</f>
        <v>BR8HS-10</v>
      </c>
      <c r="C27" s="29">
        <f>INDEX('Precios y Stock'!$C$5:$C$56,MATCH(9,'Precios y Stock'!$L$5:$L$56,0))</f>
        <v>4</v>
      </c>
      <c r="D27" s="35">
        <f>COUNTIFS(Catálogo!$E$5:$E$126,$B27,Catálogo!$A$5:$A$126,"Suzuki")</f>
        <v>2</v>
      </c>
      <c r="E27" s="35">
        <f>COUNTIFS(Catálogo!$E$5:$E$126,$B27,Catálogo!$A$5:$A$126,"Yamaha")</f>
        <v>1</v>
      </c>
      <c r="F27" s="35">
        <f>COUNTIFS(Catálogo!$E$5:$E$126,$B27,Catálogo!$A$5:$A$126,"Mercury")</f>
        <v>0</v>
      </c>
      <c r="G27" s="35">
        <f>COUNTIFS(Catálogo!$E$5:$E$126,$B27,Catálogo!$A$5:$A$126,"Parsun")</f>
        <v>1</v>
      </c>
      <c r="H27" s="35">
        <f>COUNTIFS(Catálogo!$E$5:$E$126,$B27,Catálogo!$A$5:$A$126,"Acuáticas")</f>
        <v>0</v>
      </c>
      <c r="I27" s="21" t="str">
        <f>INDEX('Precios y Stock'!$E$5:$E$56,MATCH(9,'Precios y Stock'!$L$5:$L$56,0))</f>
        <v>Media</v>
      </c>
      <c r="J27" s="30">
        <f t="shared" si="0"/>
        <v>3.2786885245901641E-2</v>
      </c>
    </row>
    <row r="28" spans="2:10" x14ac:dyDescent="0.25">
      <c r="B28" s="34" t="str">
        <f>INDEX('Precios y Stock'!$A$5:$A$56,MATCH(10,'Precios y Stock'!$L$5:$L$56,0))</f>
        <v>DCPR8E</v>
      </c>
      <c r="C28" s="29">
        <f>INDEX('Precios y Stock'!$C$5:$C$56,MATCH(10,'Precios y Stock'!$L$5:$L$56,0))</f>
        <v>4</v>
      </c>
      <c r="D28" s="35">
        <f>COUNTIFS(Catálogo!$E$5:$E$126,$B28,Catálogo!$A$5:$A$126,"Suzuki")</f>
        <v>0</v>
      </c>
      <c r="E28" s="35">
        <f>COUNTIFS(Catálogo!$E$5:$E$126,$B28,Catálogo!$A$5:$A$126,"Yamaha")</f>
        <v>0</v>
      </c>
      <c r="F28" s="35">
        <f>COUNTIFS(Catálogo!$E$5:$E$126,$B28,Catálogo!$A$5:$A$126,"Mercury")</f>
        <v>0</v>
      </c>
      <c r="G28" s="35">
        <f>COUNTIFS(Catálogo!$E$5:$E$126,$B28,Catálogo!$A$5:$A$126,"Parsun")</f>
        <v>0</v>
      </c>
      <c r="H28" s="35">
        <f>COUNTIFS(Catálogo!$E$5:$E$126,$B28,Catálogo!$A$5:$A$126,"Acuáticas")</f>
        <v>4</v>
      </c>
      <c r="I28" s="21" t="str">
        <f>INDEX('Precios y Stock'!$E$5:$E$56,MATCH(10,'Precios y Stock'!$L$5:$L$56,0))</f>
        <v>Media</v>
      </c>
      <c r="J28" s="30">
        <f t="shared" si="0"/>
        <v>3.2786885245901641E-2</v>
      </c>
    </row>
    <row r="29" spans="2:10" x14ac:dyDescent="0.25">
      <c r="B29" s="28" t="s">
        <v>89</v>
      </c>
      <c r="C29" s="31">
        <f t="shared" ref="C29:H29" si="1">SUM(C19:C28)</f>
        <v>55</v>
      </c>
      <c r="D29" s="31">
        <f t="shared" si="1"/>
        <v>16</v>
      </c>
      <c r="E29" s="31">
        <f t="shared" si="1"/>
        <v>12</v>
      </c>
      <c r="F29" s="31">
        <f t="shared" si="1"/>
        <v>10</v>
      </c>
      <c r="G29" s="31">
        <f t="shared" si="1"/>
        <v>13</v>
      </c>
      <c r="H29" s="31">
        <f t="shared" si="1"/>
        <v>4</v>
      </c>
      <c r="I29" s="36"/>
      <c r="J29" s="32">
        <f t="shared" si="0"/>
        <v>0.45081967213114754</v>
      </c>
    </row>
    <row r="31" spans="2:10" ht="15.75" x14ac:dyDescent="0.25">
      <c r="B31" s="15" t="s">
        <v>90</v>
      </c>
    </row>
    <row r="32" spans="2:10" ht="30" customHeight="1" x14ac:dyDescent="0.25">
      <c r="B32" s="11" t="str">
        <f>"1. Pocas referencias cubren gran parte del catálogo: las 10 primeras atienden el "&amp;TEXT(J29,"0%")&amp;" de los modelos. Tener stock de ellas primero da la mayor cobertura con la menor inversión."</f>
        <v>1. Pocas referencias cubren gran parte del catálogo: las 10 primeras atienden el 45% de los modelos. Tener stock de ellas primero da la mayor cobertura con la menor inversión.</v>
      </c>
      <c r="C32" s="11"/>
      <c r="D32" s="11"/>
      <c r="E32" s="11"/>
      <c r="F32" s="11"/>
      <c r="G32" s="11"/>
      <c r="H32" s="11"/>
      <c r="I32" s="11"/>
    </row>
    <row r="33" spans="2:9" ht="43.5" customHeight="1" x14ac:dyDescent="0.25">
      <c r="B33" s="11" t="s">
        <v>91</v>
      </c>
      <c r="C33" s="11"/>
      <c r="D33" s="11"/>
      <c r="E33" s="11"/>
      <c r="F33" s="11"/>
      <c r="G33" s="11"/>
      <c r="H33" s="11"/>
      <c r="I33" s="11"/>
    </row>
    <row r="34" spans="2:9" ht="43.5" customHeight="1" x14ac:dyDescent="0.25">
      <c r="B34" s="11" t="s">
        <v>92</v>
      </c>
      <c r="C34" s="11"/>
      <c r="D34" s="11"/>
      <c r="E34" s="11"/>
      <c r="F34" s="11"/>
      <c r="G34" s="11"/>
      <c r="H34" s="11"/>
      <c r="I34" s="11"/>
    </row>
    <row r="35" spans="2:9" ht="43.5" customHeight="1" x14ac:dyDescent="0.25">
      <c r="B35" s="11" t="s">
        <v>93</v>
      </c>
      <c r="C35" s="11"/>
      <c r="D35" s="11"/>
      <c r="E35" s="11"/>
      <c r="F35" s="11"/>
      <c r="G35" s="11"/>
      <c r="H35" s="11"/>
      <c r="I35" s="11"/>
    </row>
    <row r="36" spans="2:9" ht="30" customHeight="1" x14ac:dyDescent="0.25">
      <c r="B36" s="11" t="s">
        <v>94</v>
      </c>
      <c r="C36" s="11"/>
      <c r="D36" s="11"/>
      <c r="E36" s="11"/>
      <c r="F36" s="11"/>
      <c r="G36" s="11"/>
      <c r="H36" s="11"/>
      <c r="I36" s="11"/>
    </row>
    <row r="37" spans="2:9" ht="30" customHeight="1" x14ac:dyDescent="0.25">
      <c r="B37" s="11" t="s">
        <v>95</v>
      </c>
      <c r="C37" s="11"/>
      <c r="D37" s="11"/>
      <c r="E37" s="11"/>
      <c r="F37" s="11"/>
      <c r="G37" s="11"/>
      <c r="H37" s="11"/>
      <c r="I37" s="11"/>
    </row>
    <row r="38" spans="2:9" ht="30" customHeight="1" x14ac:dyDescent="0.25">
      <c r="B38" s="11" t="s">
        <v>96</v>
      </c>
      <c r="C38" s="11"/>
      <c r="D38" s="11"/>
      <c r="E38" s="11"/>
      <c r="F38" s="11"/>
      <c r="G38" s="11"/>
      <c r="H38" s="11"/>
      <c r="I38" s="11"/>
    </row>
    <row r="39" spans="2:9" ht="43.5" customHeight="1" x14ac:dyDescent="0.25">
      <c r="B39" s="11" t="s">
        <v>97</v>
      </c>
      <c r="C39" s="11"/>
      <c r="D39" s="11"/>
      <c r="E39" s="11"/>
      <c r="F39" s="11"/>
      <c r="G39" s="11"/>
      <c r="H39" s="11"/>
      <c r="I39" s="11"/>
    </row>
    <row r="41" spans="2:9" ht="15.75" x14ac:dyDescent="0.25">
      <c r="B41" s="15" t="s">
        <v>98</v>
      </c>
    </row>
    <row r="42" spans="2:9" ht="15" customHeight="1" x14ac:dyDescent="0.25">
      <c r="B42" s="9" t="s">
        <v>99</v>
      </c>
      <c r="C42" s="9"/>
      <c r="D42" s="9"/>
      <c r="E42" s="9"/>
      <c r="F42" s="5" t="s">
        <v>100</v>
      </c>
      <c r="G42" s="5"/>
      <c r="H42" s="5"/>
      <c r="I42" s="5"/>
    </row>
    <row r="43" spans="2:9" ht="30" customHeight="1" x14ac:dyDescent="0.25">
      <c r="B43" s="4" t="s">
        <v>101</v>
      </c>
      <c r="C43" s="4"/>
      <c r="D43" s="4"/>
      <c r="E43" s="4"/>
      <c r="F43" s="4" t="s">
        <v>102</v>
      </c>
      <c r="G43" s="4"/>
      <c r="H43" s="4"/>
      <c r="I43" s="4"/>
    </row>
    <row r="44" spans="2:9" ht="30" customHeight="1" x14ac:dyDescent="0.25">
      <c r="B44" s="4" t="s">
        <v>103</v>
      </c>
      <c r="C44" s="4"/>
      <c r="D44" s="4"/>
      <c r="E44" s="4"/>
      <c r="F44" s="4" t="s">
        <v>104</v>
      </c>
      <c r="G44" s="4"/>
      <c r="H44" s="4"/>
      <c r="I44" s="4"/>
    </row>
    <row r="45" spans="2:9" ht="30" customHeight="1" x14ac:dyDescent="0.25">
      <c r="B45" s="4" t="s">
        <v>105</v>
      </c>
      <c r="C45" s="4"/>
      <c r="D45" s="4"/>
      <c r="E45" s="4"/>
      <c r="F45" s="4" t="s">
        <v>106</v>
      </c>
      <c r="G45" s="4"/>
      <c r="H45" s="4"/>
      <c r="I45" s="4"/>
    </row>
    <row r="46" spans="2:9" ht="30" customHeight="1" x14ac:dyDescent="0.25">
      <c r="B46" s="4" t="s">
        <v>107</v>
      </c>
      <c r="C46" s="4"/>
      <c r="D46" s="4"/>
      <c r="E46" s="4"/>
      <c r="F46" s="4" t="s">
        <v>108</v>
      </c>
      <c r="G46" s="4"/>
      <c r="H46" s="4"/>
      <c r="I46" s="4"/>
    </row>
  </sheetData>
  <mergeCells count="30">
    <mergeCell ref="B44:E44"/>
    <mergeCell ref="F44:I44"/>
    <mergeCell ref="B45:E45"/>
    <mergeCell ref="F45:I45"/>
    <mergeCell ref="B46:E46"/>
    <mergeCell ref="F46:I46"/>
    <mergeCell ref="B38:I38"/>
    <mergeCell ref="B39:I39"/>
    <mergeCell ref="B42:E42"/>
    <mergeCell ref="F42:I42"/>
    <mergeCell ref="B43:E43"/>
    <mergeCell ref="F43:I43"/>
    <mergeCell ref="B33:I33"/>
    <mergeCell ref="B34:I34"/>
    <mergeCell ref="B35:I35"/>
    <mergeCell ref="B36:I36"/>
    <mergeCell ref="B37:I37"/>
    <mergeCell ref="B6:C6"/>
    <mergeCell ref="D6:E6"/>
    <mergeCell ref="F6:G6"/>
    <mergeCell ref="H6:I6"/>
    <mergeCell ref="B32:I32"/>
    <mergeCell ref="B4:C4"/>
    <mergeCell ref="D4:E4"/>
    <mergeCell ref="F4:G4"/>
    <mergeCell ref="H4:I4"/>
    <mergeCell ref="B5:C5"/>
    <mergeCell ref="D5:E5"/>
    <mergeCell ref="F5:G5"/>
    <mergeCell ref="H5:I5"/>
  </mergeCells>
  <conditionalFormatting sqref="C19:C28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{78901F87-E0C1-443F-A7FC-FD29DCD555DD}</x14:id>
        </ext>
      </extLst>
    </cfRule>
  </conditionalFormatting>
  <conditionalFormatting sqref="I19:I28">
    <cfRule type="expression" dxfId="16" priority="3">
      <formula>$I19="Alta"</formula>
    </cfRule>
    <cfRule type="expression" dxfId="15" priority="4">
      <formula>$I19="Media"</formula>
    </cfRule>
    <cfRule type="expression" dxfId="14" priority="5">
      <formula>$I19="Baja"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901F87-E0C1-443F-A7FC-FD29DCD555DD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C19:C28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B1:G38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5" customWidth="1"/>
    <col min="3" max="3" width="32" customWidth="1"/>
    <col min="4" max="4" width="48" customWidth="1"/>
    <col min="5" max="5" width="62" customWidth="1"/>
    <col min="6" max="7" width="11" customWidth="1"/>
  </cols>
  <sheetData>
    <row r="1" spans="2:7" ht="23.25" x14ac:dyDescent="0.35">
      <c r="B1" s="27" t="s">
        <v>109</v>
      </c>
    </row>
    <row r="2" spans="2:7" x14ac:dyDescent="0.25">
      <c r="B2" s="14" t="s">
        <v>110</v>
      </c>
    </row>
    <row r="4" spans="2:7" ht="24" customHeight="1" x14ac:dyDescent="0.25">
      <c r="B4" s="16" t="s">
        <v>111</v>
      </c>
      <c r="C4" s="16" t="s">
        <v>112</v>
      </c>
      <c r="D4" s="16" t="s">
        <v>113</v>
      </c>
      <c r="E4" s="16" t="s">
        <v>114</v>
      </c>
      <c r="F4" s="16" t="s">
        <v>87</v>
      </c>
      <c r="G4" s="16" t="s">
        <v>115</v>
      </c>
    </row>
    <row r="5" spans="2:7" ht="43.5" customHeight="1" x14ac:dyDescent="0.25">
      <c r="B5" s="37">
        <v>1</v>
      </c>
      <c r="C5" s="38" t="s">
        <v>116</v>
      </c>
      <c r="D5" s="26" t="s">
        <v>117</v>
      </c>
      <c r="E5" s="26" t="s">
        <v>118</v>
      </c>
      <c r="F5" s="39" t="s">
        <v>119</v>
      </c>
      <c r="G5" s="21" t="s">
        <v>120</v>
      </c>
    </row>
    <row r="6" spans="2:7" ht="43.5" customHeight="1" x14ac:dyDescent="0.25">
      <c r="B6" s="37">
        <v>2</v>
      </c>
      <c r="C6" s="38" t="s">
        <v>121</v>
      </c>
      <c r="D6" s="26" t="s">
        <v>122</v>
      </c>
      <c r="E6" s="26" t="s">
        <v>123</v>
      </c>
      <c r="F6" s="39" t="s">
        <v>119</v>
      </c>
      <c r="G6" s="21" t="s">
        <v>120</v>
      </c>
    </row>
    <row r="7" spans="2:7" ht="30" customHeight="1" x14ac:dyDescent="0.25">
      <c r="B7" s="37">
        <v>3</v>
      </c>
      <c r="C7" s="38" t="s">
        <v>124</v>
      </c>
      <c r="D7" s="26" t="s">
        <v>125</v>
      </c>
      <c r="E7" s="26" t="s">
        <v>126</v>
      </c>
      <c r="F7" s="39" t="s">
        <v>119</v>
      </c>
      <c r="G7" s="21" t="s">
        <v>127</v>
      </c>
    </row>
    <row r="8" spans="2:7" ht="30" customHeight="1" x14ac:dyDescent="0.25">
      <c r="B8" s="37">
        <v>4</v>
      </c>
      <c r="C8" s="38" t="s">
        <v>128</v>
      </c>
      <c r="D8" s="26" t="s">
        <v>129</v>
      </c>
      <c r="E8" s="26" t="s">
        <v>130</v>
      </c>
      <c r="F8" s="39" t="s">
        <v>119</v>
      </c>
      <c r="G8" s="21" t="s">
        <v>120</v>
      </c>
    </row>
    <row r="9" spans="2:7" ht="43.5" customHeight="1" x14ac:dyDescent="0.25">
      <c r="B9" s="37">
        <v>5</v>
      </c>
      <c r="C9" s="38" t="s">
        <v>131</v>
      </c>
      <c r="D9" s="26" t="s">
        <v>132</v>
      </c>
      <c r="E9" s="26" t="s">
        <v>133</v>
      </c>
      <c r="F9" s="39" t="s">
        <v>119</v>
      </c>
      <c r="G9" s="21" t="s">
        <v>120</v>
      </c>
    </row>
    <row r="10" spans="2:7" ht="43.5" customHeight="1" x14ac:dyDescent="0.25">
      <c r="B10" s="37">
        <v>6</v>
      </c>
      <c r="C10" s="38" t="s">
        <v>134</v>
      </c>
      <c r="D10" s="26" t="s">
        <v>135</v>
      </c>
      <c r="E10" s="26" t="s">
        <v>136</v>
      </c>
      <c r="F10" s="40" t="s">
        <v>137</v>
      </c>
      <c r="G10" s="21" t="s">
        <v>127</v>
      </c>
    </row>
    <row r="11" spans="2:7" ht="43.5" customHeight="1" x14ac:dyDescent="0.25">
      <c r="B11" s="37">
        <v>7</v>
      </c>
      <c r="C11" s="38" t="s">
        <v>138</v>
      </c>
      <c r="D11" s="26" t="s">
        <v>139</v>
      </c>
      <c r="E11" s="26" t="s">
        <v>140</v>
      </c>
      <c r="F11" s="40" t="s">
        <v>137</v>
      </c>
      <c r="G11" s="21" t="s">
        <v>120</v>
      </c>
    </row>
    <row r="12" spans="2:7" ht="30" customHeight="1" x14ac:dyDescent="0.25">
      <c r="B12" s="37">
        <v>8</v>
      </c>
      <c r="C12" s="38" t="s">
        <v>141</v>
      </c>
      <c r="D12" s="26" t="s">
        <v>142</v>
      </c>
      <c r="E12" s="26" t="s">
        <v>143</v>
      </c>
      <c r="F12" s="40" t="s">
        <v>137</v>
      </c>
      <c r="G12" s="21" t="s">
        <v>127</v>
      </c>
    </row>
    <row r="13" spans="2:7" ht="43.5" customHeight="1" x14ac:dyDescent="0.25">
      <c r="B13" s="37">
        <v>9</v>
      </c>
      <c r="C13" s="38" t="s">
        <v>144</v>
      </c>
      <c r="D13" s="26" t="s">
        <v>145</v>
      </c>
      <c r="E13" s="26" t="s">
        <v>146</v>
      </c>
      <c r="F13" s="40" t="s">
        <v>137</v>
      </c>
      <c r="G13" s="21" t="s">
        <v>127</v>
      </c>
    </row>
    <row r="14" spans="2:7" ht="43.5" customHeight="1" x14ac:dyDescent="0.25">
      <c r="B14" s="37">
        <v>10</v>
      </c>
      <c r="C14" s="38" t="s">
        <v>147</v>
      </c>
      <c r="D14" s="26" t="s">
        <v>148</v>
      </c>
      <c r="E14" s="26" t="s">
        <v>149</v>
      </c>
      <c r="F14" s="40" t="s">
        <v>137</v>
      </c>
      <c r="G14" s="21" t="s">
        <v>120</v>
      </c>
    </row>
    <row r="16" spans="2:7" ht="15.75" x14ac:dyDescent="0.25">
      <c r="B16" s="15" t="s">
        <v>150</v>
      </c>
    </row>
    <row r="17" spans="2:5" x14ac:dyDescent="0.25">
      <c r="B17" s="33" t="s">
        <v>151</v>
      </c>
    </row>
    <row r="18" spans="2:5" x14ac:dyDescent="0.25">
      <c r="C18" s="28" t="s">
        <v>152</v>
      </c>
      <c r="D18" s="41">
        <v>10</v>
      </c>
      <c r="E18" s="42" t="s">
        <v>153</v>
      </c>
    </row>
    <row r="19" spans="2:5" ht="25.5" x14ac:dyDescent="0.25">
      <c r="C19" s="28" t="s">
        <v>154</v>
      </c>
      <c r="D19" s="41">
        <v>6</v>
      </c>
      <c r="E19" s="42" t="s">
        <v>155</v>
      </c>
    </row>
    <row r="20" spans="2:5" ht="24" x14ac:dyDescent="0.25">
      <c r="C20" s="28" t="s">
        <v>156</v>
      </c>
      <c r="D20" s="43">
        <f>ROUND(AVERAGEIFS(Catálogo!$H$5:$H$126,Catálogo!$I$5:$I$126,"Venta actual"),1)</f>
        <v>3.5</v>
      </c>
      <c r="E20" s="42" t="s">
        <v>157</v>
      </c>
    </row>
    <row r="21" spans="2:5" ht="25.5" x14ac:dyDescent="0.25">
      <c r="C21" s="28" t="s">
        <v>158</v>
      </c>
      <c r="D21" s="44">
        <v>23000</v>
      </c>
      <c r="E21" s="42" t="s">
        <v>159</v>
      </c>
    </row>
    <row r="22" spans="2:5" x14ac:dyDescent="0.25">
      <c r="C22" s="28" t="s">
        <v>160</v>
      </c>
      <c r="D22" s="45">
        <f>Parámetros!$B$11</f>
        <v>0.1</v>
      </c>
      <c r="E22" s="42" t="s">
        <v>161</v>
      </c>
    </row>
    <row r="23" spans="2:5" ht="25.5" x14ac:dyDescent="0.25">
      <c r="C23" s="28" t="s">
        <v>162</v>
      </c>
      <c r="D23" s="45">
        <f>Parámetros!$B$5</f>
        <v>0.5</v>
      </c>
      <c r="E23" s="42" t="s">
        <v>161</v>
      </c>
    </row>
    <row r="25" spans="2:5" x14ac:dyDescent="0.25">
      <c r="C25" s="46" t="s">
        <v>163</v>
      </c>
      <c r="D25" s="47">
        <f>D18*D19*D20</f>
        <v>210</v>
      </c>
    </row>
    <row r="26" spans="2:5" ht="25.5" x14ac:dyDescent="0.25">
      <c r="C26" s="46" t="s">
        <v>164</v>
      </c>
      <c r="D26" s="47">
        <f>D25*D21*(1-D22)</f>
        <v>4347000</v>
      </c>
    </row>
    <row r="27" spans="2:5" ht="25.5" x14ac:dyDescent="0.25">
      <c r="C27" s="46" t="s">
        <v>165</v>
      </c>
      <c r="D27" s="47">
        <f>D26-D25*D21*(1-D23)</f>
        <v>1932000</v>
      </c>
    </row>
    <row r="28" spans="2:5" x14ac:dyDescent="0.25">
      <c r="C28" s="46" t="s">
        <v>166</v>
      </c>
      <c r="D28" s="47">
        <f>D26*12</f>
        <v>52164000</v>
      </c>
    </row>
    <row r="29" spans="2:5" ht="25.5" x14ac:dyDescent="0.25">
      <c r="C29" s="46" t="s">
        <v>167</v>
      </c>
      <c r="D29" s="47">
        <f>IF(D18=0,0,D26/D18)</f>
        <v>434700</v>
      </c>
    </row>
    <row r="31" spans="2:5" ht="15.75" x14ac:dyDescent="0.25">
      <c r="B31" s="15" t="s">
        <v>168</v>
      </c>
    </row>
    <row r="32" spans="2:5" x14ac:dyDescent="0.25">
      <c r="C32" s="16" t="s">
        <v>169</v>
      </c>
      <c r="D32" s="16" t="s">
        <v>112</v>
      </c>
      <c r="E32" s="16" t="s">
        <v>170</v>
      </c>
    </row>
    <row r="33" spans="3:5" ht="30" customHeight="1" x14ac:dyDescent="0.25">
      <c r="C33" s="28" t="s">
        <v>171</v>
      </c>
      <c r="D33" s="26" t="s">
        <v>172</v>
      </c>
      <c r="E33" s="26" t="s">
        <v>173</v>
      </c>
    </row>
    <row r="34" spans="3:5" ht="30" customHeight="1" x14ac:dyDescent="0.25">
      <c r="C34" s="28" t="s">
        <v>171</v>
      </c>
      <c r="D34" s="26" t="s">
        <v>174</v>
      </c>
      <c r="E34" s="26" t="s">
        <v>175</v>
      </c>
    </row>
    <row r="35" spans="3:5" ht="30" customHeight="1" x14ac:dyDescent="0.25">
      <c r="C35" s="28" t="s">
        <v>176</v>
      </c>
      <c r="D35" s="26" t="s">
        <v>177</v>
      </c>
      <c r="E35" s="26" t="s">
        <v>178</v>
      </c>
    </row>
    <row r="36" spans="3:5" ht="30" customHeight="1" x14ac:dyDescent="0.25">
      <c r="C36" s="28" t="s">
        <v>179</v>
      </c>
      <c r="D36" s="26" t="s">
        <v>180</v>
      </c>
      <c r="E36" s="26" t="s">
        <v>181</v>
      </c>
    </row>
    <row r="37" spans="3:5" ht="16.5" customHeight="1" x14ac:dyDescent="0.25">
      <c r="C37" s="28" t="s">
        <v>179</v>
      </c>
      <c r="D37" s="26" t="s">
        <v>182</v>
      </c>
      <c r="E37" s="26" t="s">
        <v>183</v>
      </c>
    </row>
    <row r="38" spans="3:5" ht="30" customHeight="1" x14ac:dyDescent="0.25">
      <c r="C38" s="28" t="s">
        <v>184</v>
      </c>
      <c r="D38" s="26" t="s">
        <v>185</v>
      </c>
      <c r="E38" s="26" t="s">
        <v>186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F8F"/>
    <pageSetUpPr fitToPage="1"/>
  </sheetPr>
  <dimension ref="B1:H41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6" customWidth="1"/>
    <col min="3" max="3" width="46" customWidth="1"/>
    <col min="4" max="4" width="40" customWidth="1"/>
    <col min="5" max="5" width="12" customWidth="1"/>
    <col min="6" max="7" width="3" customWidth="1"/>
    <col min="8" max="8" width="9" hidden="1" customWidth="1"/>
  </cols>
  <sheetData>
    <row r="1" spans="2:8" ht="23.25" x14ac:dyDescent="0.35">
      <c r="B1" s="27" t="s">
        <v>187</v>
      </c>
    </row>
    <row r="2" spans="2:8" x14ac:dyDescent="0.25">
      <c r="B2" s="14" t="s">
        <v>188</v>
      </c>
    </row>
    <row r="4" spans="2:8" ht="15.75" x14ac:dyDescent="0.25">
      <c r="B4" s="15" t="s">
        <v>189</v>
      </c>
    </row>
    <row r="5" spans="2:8" x14ac:dyDescent="0.25">
      <c r="B5" s="28" t="s">
        <v>71</v>
      </c>
      <c r="C5" s="48" t="s">
        <v>77</v>
      </c>
      <c r="D5" s="33" t="s">
        <v>190</v>
      </c>
      <c r="H5" s="49">
        <f>IFERROR(MATCH(C5&amp;"|"&amp;C6,Catálogo!$M$5:$M$126,0),"")</f>
        <v>4</v>
      </c>
    </row>
    <row r="6" spans="2:8" x14ac:dyDescent="0.25">
      <c r="B6" s="28" t="s">
        <v>191</v>
      </c>
      <c r="C6" s="48" t="s">
        <v>192</v>
      </c>
      <c r="D6" s="33" t="s">
        <v>193</v>
      </c>
    </row>
    <row r="8" spans="2:8" ht="25.5" customHeight="1" x14ac:dyDescent="0.25">
      <c r="B8" s="28" t="s">
        <v>85</v>
      </c>
      <c r="C8" s="50" t="str">
        <f>IF($H$5="","—",IF(INDEX(Catálogo!$E$5:$E$126,$H$5)="","—",INDEX(Catálogo!$E$5:$E$126,$H$5)))</f>
        <v>DCPR6E</v>
      </c>
    </row>
    <row r="9" spans="2:8" x14ac:dyDescent="0.25">
      <c r="B9" s="28" t="s">
        <v>194</v>
      </c>
      <c r="C9" s="18" t="str">
        <f>IF($H$5="","—",IF(INDEX(Catálogo!$F$5:$F$126,$H$5)="","—",INDEX(Catálogo!$F$5:$F$126,$H$5)))</f>
        <v>0.8–0.9</v>
      </c>
    </row>
    <row r="10" spans="2:8" x14ac:dyDescent="0.25">
      <c r="B10" s="28" t="s">
        <v>195</v>
      </c>
      <c r="C10" s="18">
        <f>IF($H$5="","—",IF(INDEX(Catálogo!$G$5:$G$126,$H$5)="","—",INDEX(Catálogo!$G$5:$G$126,$H$5)))</f>
        <v>18</v>
      </c>
    </row>
    <row r="11" spans="2:8" x14ac:dyDescent="0.25">
      <c r="B11" s="28" t="s">
        <v>196</v>
      </c>
      <c r="C11" s="18">
        <f>IF($H$5="","—",IF(INDEX(Catálogo!$H$5:$H$126,$H$5)="","—",INDEX(Catálogo!$H$5:$H$126,$H$5)))</f>
        <v>4</v>
      </c>
    </row>
    <row r="12" spans="2:8" x14ac:dyDescent="0.25">
      <c r="B12" s="28" t="s">
        <v>197</v>
      </c>
      <c r="C12" s="18" t="str">
        <f>IF($H$5="","—",IF(INDEX(Catálogo!$C$5:$C$126,$H$5)="","—",INDEX(Catálogo!$C$5:$C$126,$H$5)))</f>
        <v>4T</v>
      </c>
    </row>
    <row r="13" spans="2:8" x14ac:dyDescent="0.25">
      <c r="B13" s="28" t="s">
        <v>198</v>
      </c>
      <c r="C13" s="18" t="str">
        <f>IF($H$5="","—",IF(INDEX(Catálogo!$D$5:$D$126,$H$5)="","—",INDEX(Catálogo!$D$5:$D$126,$H$5)))</f>
        <v>4 cil.</v>
      </c>
    </row>
    <row r="14" spans="2:8" x14ac:dyDescent="0.25">
      <c r="B14" s="28" t="s">
        <v>199</v>
      </c>
      <c r="C14" s="18" t="str">
        <f>IF($H$5="","—",IF(INDEX(Catálogo!$I$5:$I$126,$H$5)="","—",INDEX(Catálogo!$I$5:$I$126,$H$5)))</f>
        <v>Venta actual</v>
      </c>
    </row>
    <row r="15" spans="2:8" x14ac:dyDescent="0.25">
      <c r="B15" s="28" t="s">
        <v>200</v>
      </c>
      <c r="C15" s="18" t="str">
        <f>IF($H$5="","—",IF(INDEX(Catálogo!$J$5:$J$126,$H$5)="","—",INDEX(Catálogo!$J$5:$J$126,$H$5)))</f>
        <v>Confirmado</v>
      </c>
    </row>
    <row r="16" spans="2:8" x14ac:dyDescent="0.25">
      <c r="B16" s="28" t="s">
        <v>201</v>
      </c>
      <c r="C16" s="18" t="str">
        <f>IF($H$5="","—",IF(INDEX(Catálogo!$K$5:$K$126,$H$5)="","—",INDEX(Catálogo!$K$5:$K$126,$H$5)))</f>
        <v>suzuki.com.co</v>
      </c>
    </row>
    <row r="17" spans="2:5" ht="31.5" customHeight="1" x14ac:dyDescent="0.25">
      <c r="B17" s="28" t="s">
        <v>202</v>
      </c>
      <c r="C17" s="18" t="str">
        <f>IF($H$5="","—",IF(INDEX(Catálogo!$L$5:$L$126,$H$5)="","—",INDEX(Catálogo!$L$5:$L$126,$H$5)))</f>
        <v>OEM 09482-00446</v>
      </c>
    </row>
    <row r="18" spans="2:5" ht="25.5" x14ac:dyDescent="0.25">
      <c r="B18" s="28" t="s">
        <v>203</v>
      </c>
      <c r="C18" s="18">
        <f>IF($H$5="","—",COUNTIF(Catálogo!$E$5:$E$126,C8)-1)</f>
        <v>7</v>
      </c>
    </row>
    <row r="19" spans="2:5" ht="43.5" customHeight="1" x14ac:dyDescent="0.25">
      <c r="B19" s="28" t="s">
        <v>204</v>
      </c>
      <c r="C19" s="3" t="str">
        <f>IF($H$5="","Modelo no encontrado en el catálogo",IF(C5="Acuáticas",C6,C5&amp;" "&amp;C6)&amp;": bujía NGK "&amp;C8&amp;", gap "&amp;C9&amp;" mm, "&amp;C11&amp;" bujía(s) por motor. Confirma con la bujía instalada si el dato figura como Por equivalencia o Verificar.")</f>
        <v>Suzuki DF60AQHL/ATL: bujía NGK DCPR6E, gap 0.8–0.9 mm, 4 bujía(s) por motor. Confirma con la bujía instalada si el dato figura como Por equivalencia o Verificar.</v>
      </c>
      <c r="D19" s="3"/>
    </row>
    <row r="21" spans="2:5" ht="15.75" x14ac:dyDescent="0.25">
      <c r="B21" s="15" t="s">
        <v>205</v>
      </c>
    </row>
    <row r="22" spans="2:5" x14ac:dyDescent="0.25">
      <c r="B22" s="28" t="s">
        <v>85</v>
      </c>
      <c r="C22" s="48" t="s">
        <v>206</v>
      </c>
      <c r="D22" s="33" t="s">
        <v>207</v>
      </c>
    </row>
    <row r="23" spans="2:5" x14ac:dyDescent="0.25">
      <c r="B23" s="28" t="s">
        <v>86</v>
      </c>
      <c r="C23" s="18">
        <f>COUNTIF(Catálogo!$E$5:$E$126,C22)</f>
        <v>5</v>
      </c>
    </row>
    <row r="25" spans="2:5" x14ac:dyDescent="0.25">
      <c r="B25" s="25" t="s">
        <v>111</v>
      </c>
      <c r="C25" s="25" t="s">
        <v>208</v>
      </c>
      <c r="D25" s="25" t="s">
        <v>209</v>
      </c>
      <c r="E25" s="25" t="s">
        <v>210</v>
      </c>
    </row>
    <row r="26" spans="2:5" x14ac:dyDescent="0.25">
      <c r="B26" s="51">
        <v>1</v>
      </c>
      <c r="C26" s="18" t="str">
        <f>IFERROR(IF(INDEX(Catálogo!$A$5:$A$126,MATCH($B26,Catálogo!$N$5:$N$126,0))="Acuáticas",INDEX(Catálogo!$B$5:$B$126,MATCH($B26,Catálogo!$N$5:$N$126,0)),INDEX(Catálogo!$A$5:$A$126,MATCH($B26,Catálogo!$N$5:$N$126,0))&amp;" "&amp;INDEX(Catálogo!$B$5:$B$126,MATCH($B26,Catálogo!$N$5:$N$126,0))),"")</f>
        <v>Suzuki DF115BTL/BTX (Stealth/blanco)</v>
      </c>
      <c r="D26" s="18" t="str">
        <f>IFERROR(INDEX(Catálogo!$C$5:$C$126,MATCH($B26,Catálogo!$N$5:$N$126,0))&amp;" · "&amp;INDEX(Catálogo!$D$5:$D$126,MATCH($B26,Catálogo!$N$5:$N$126,0)),"")</f>
        <v>4T · 4 cil.</v>
      </c>
      <c r="E26" s="18" t="str">
        <f>IFERROR(INDEX(Catálogo!$J$5:$J$126,MATCH($B26,Catálogo!$N$5:$N$126,0)),"")</f>
        <v>Confirmado</v>
      </c>
    </row>
    <row r="27" spans="2:5" x14ac:dyDescent="0.25">
      <c r="B27" s="51">
        <v>2</v>
      </c>
      <c r="C27" s="18" t="str">
        <f>IFERROR(IF(INDEX(Catálogo!$A$5:$A$126,MATCH($B27,Catálogo!$N$5:$N$126,0))="Acuáticas",INDEX(Catálogo!$B$5:$B$126,MATCH($B27,Catálogo!$N$5:$N$126,0)),INDEX(Catálogo!$A$5:$A$126,MATCH($B27,Catálogo!$N$5:$N$126,0))&amp;" "&amp;INDEX(Catálogo!$B$5:$B$126,MATCH($B27,Catálogo!$N$5:$N$126,0))),"")</f>
        <v>Suzuki DF150ATL/ATX/AZX</v>
      </c>
      <c r="D27" s="18" t="str">
        <f>IFERROR(INDEX(Catálogo!$C$5:$C$126,MATCH($B27,Catálogo!$N$5:$N$126,0))&amp;" · "&amp;INDEX(Catálogo!$D$5:$D$126,MATCH($B27,Catálogo!$N$5:$N$126,0)),"")</f>
        <v>4T · 4 cil.</v>
      </c>
      <c r="E27" s="18" t="str">
        <f>IFERROR(INDEX(Catálogo!$J$5:$J$126,MATCH($B27,Catálogo!$N$5:$N$126,0)),"")</f>
        <v>Confirmado</v>
      </c>
    </row>
    <row r="28" spans="2:5" x14ac:dyDescent="0.25">
      <c r="B28" s="51">
        <v>3</v>
      </c>
      <c r="C28" s="18" t="str">
        <f>IFERROR(IF(INDEX(Catálogo!$A$5:$A$126,MATCH($B28,Catálogo!$N$5:$N$126,0))="Acuáticas",INDEX(Catálogo!$B$5:$B$126,MATCH($B28,Catálogo!$N$5:$N$126,0)),INDEX(Catálogo!$A$5:$A$126,MATCH($B28,Catálogo!$N$5:$N$126,0))&amp;" "&amp;INDEX(Catálogo!$B$5:$B$126,MATCH($B28,Catálogo!$N$5:$N$126,0))),"")</f>
        <v>Suzuki DF115B/140B</v>
      </c>
      <c r="D28" s="18" t="str">
        <f>IFERROR(INDEX(Catálogo!$C$5:$C$126,MATCH($B28,Catálogo!$N$5:$N$126,0))&amp;" · "&amp;INDEX(Catálogo!$D$5:$D$126,MATCH($B28,Catálogo!$N$5:$N$126,0)),"")</f>
        <v>4T · 4 cil.</v>
      </c>
      <c r="E28" s="18" t="str">
        <f>IFERROR(INDEX(Catálogo!$J$5:$J$126,MATCH($B28,Catálogo!$N$5:$N$126,0)),"")</f>
        <v>Confirmado</v>
      </c>
    </row>
    <row r="29" spans="2:5" x14ac:dyDescent="0.25">
      <c r="B29" s="51">
        <v>4</v>
      </c>
      <c r="C29" s="18" t="str">
        <f>IFERROR(IF(INDEX(Catálogo!$A$5:$A$126,MATCH($B29,Catálogo!$N$5:$N$126,0))="Acuáticas",INDEX(Catálogo!$B$5:$B$126,MATCH($B29,Catálogo!$N$5:$N$126,0)),INDEX(Catálogo!$A$5:$A$126,MATCH($B29,Catálogo!$N$5:$N$126,0))&amp;" "&amp;INDEX(Catálogo!$B$5:$B$126,MATCH($B29,Catálogo!$N$5:$N$126,0))),"")</f>
        <v>Yamaha F(L)115B (F115BETL/X, FL115BETX)</v>
      </c>
      <c r="D29" s="18" t="str">
        <f>IFERROR(INDEX(Catálogo!$C$5:$C$126,MATCH($B29,Catálogo!$N$5:$N$126,0))&amp;" · "&amp;INDEX(Catálogo!$D$5:$D$126,MATCH($B29,Catálogo!$N$5:$N$126,0)),"")</f>
        <v>4T · 4 cil., 1.832 cc</v>
      </c>
      <c r="E29" s="18" t="str">
        <f>IFERROR(INDEX(Catálogo!$J$5:$J$126,MATCH($B29,Catálogo!$N$5:$N$126,0)),"")</f>
        <v>Confirmado</v>
      </c>
    </row>
    <row r="30" spans="2:5" ht="25.5" x14ac:dyDescent="0.25">
      <c r="B30" s="51">
        <v>5</v>
      </c>
      <c r="C30" s="18" t="str">
        <f>IFERROR(IF(INDEX(Catálogo!$A$5:$A$126,MATCH($B30,Catálogo!$N$5:$N$126,0))="Acuáticas",INDEX(Catálogo!$B$5:$B$126,MATCH($B30,Catálogo!$N$5:$N$126,0)),INDEX(Catálogo!$A$5:$A$126,MATCH($B30,Catálogo!$N$5:$N$126,0))&amp;" "&amp;INDEX(Catálogo!$B$5:$B$126,MATCH($B30,Catálogo!$N$5:$N$126,0))),"")</f>
        <v>Parsun F-115 FEL-T-EFI / FEX-T-EFI</v>
      </c>
      <c r="D30" s="18" t="str">
        <f>IFERROR(INDEX(Catálogo!$C$5:$C$126,MATCH($B30,Catálogo!$N$5:$N$126,0))&amp;" · "&amp;INDEX(Catálogo!$D$5:$D$126,MATCH($B30,Catálogo!$N$5:$N$126,0)),"")</f>
        <v>4T · 4 cil., 1.832 cc</v>
      </c>
      <c r="E30" s="18" t="str">
        <f>IFERROR(INDEX(Catálogo!$J$5:$J$126,MATCH($B30,Catálogo!$N$5:$N$126,0)),"")</f>
        <v>Por equivalencia</v>
      </c>
    </row>
    <row r="31" spans="2:5" x14ac:dyDescent="0.25">
      <c r="B31" s="51">
        <v>6</v>
      </c>
      <c r="C31" s="18" t="str">
        <f>IFERROR(IF(INDEX(Catálogo!$A$5:$A$126,MATCH($B31,Catálogo!$N$5:$N$126,0))="Acuáticas",INDEX(Catálogo!$B$5:$B$126,MATCH($B31,Catálogo!$N$5:$N$126,0)),INDEX(Catálogo!$A$5:$A$126,MATCH($B31,Catálogo!$N$5:$N$126,0))&amp;" "&amp;INDEX(Catálogo!$B$5:$B$126,MATCH($B31,Catálogo!$N$5:$N$126,0))),"")</f>
        <v/>
      </c>
      <c r="D31" s="18" t="str">
        <f>IFERROR(INDEX(Catálogo!$C$5:$C$126,MATCH($B31,Catálogo!$N$5:$N$126,0))&amp;" · "&amp;INDEX(Catálogo!$D$5:$D$126,MATCH($B31,Catálogo!$N$5:$N$126,0)),"")</f>
        <v/>
      </c>
      <c r="E31" s="18" t="str">
        <f>IFERROR(INDEX(Catálogo!$J$5:$J$126,MATCH($B31,Catálogo!$N$5:$N$126,0)),"")</f>
        <v/>
      </c>
    </row>
    <row r="32" spans="2:5" x14ac:dyDescent="0.25">
      <c r="B32" s="51">
        <v>7</v>
      </c>
      <c r="C32" s="18" t="str">
        <f>IFERROR(IF(INDEX(Catálogo!$A$5:$A$126,MATCH($B32,Catálogo!$N$5:$N$126,0))="Acuáticas",INDEX(Catálogo!$B$5:$B$126,MATCH($B32,Catálogo!$N$5:$N$126,0)),INDEX(Catálogo!$A$5:$A$126,MATCH($B32,Catálogo!$N$5:$N$126,0))&amp;" "&amp;INDEX(Catálogo!$B$5:$B$126,MATCH($B32,Catálogo!$N$5:$N$126,0))),"")</f>
        <v/>
      </c>
      <c r="D32" s="18" t="str">
        <f>IFERROR(INDEX(Catálogo!$C$5:$C$126,MATCH($B32,Catálogo!$N$5:$N$126,0))&amp;" · "&amp;INDEX(Catálogo!$D$5:$D$126,MATCH($B32,Catálogo!$N$5:$N$126,0)),"")</f>
        <v/>
      </c>
      <c r="E32" s="18" t="str">
        <f>IFERROR(INDEX(Catálogo!$J$5:$J$126,MATCH($B32,Catálogo!$N$5:$N$126,0)),"")</f>
        <v/>
      </c>
    </row>
    <row r="33" spans="2:5" x14ac:dyDescent="0.25">
      <c r="B33" s="51">
        <v>8</v>
      </c>
      <c r="C33" s="18" t="str">
        <f>IFERROR(IF(INDEX(Catálogo!$A$5:$A$126,MATCH($B33,Catálogo!$N$5:$N$126,0))="Acuáticas",INDEX(Catálogo!$B$5:$B$126,MATCH($B33,Catálogo!$N$5:$N$126,0)),INDEX(Catálogo!$A$5:$A$126,MATCH($B33,Catálogo!$N$5:$N$126,0))&amp;" "&amp;INDEX(Catálogo!$B$5:$B$126,MATCH($B33,Catálogo!$N$5:$N$126,0))),"")</f>
        <v/>
      </c>
      <c r="D33" s="18" t="str">
        <f>IFERROR(INDEX(Catálogo!$C$5:$C$126,MATCH($B33,Catálogo!$N$5:$N$126,0))&amp;" · "&amp;INDEX(Catálogo!$D$5:$D$126,MATCH($B33,Catálogo!$N$5:$N$126,0)),"")</f>
        <v/>
      </c>
      <c r="E33" s="18" t="str">
        <f>IFERROR(INDEX(Catálogo!$J$5:$J$126,MATCH($B33,Catálogo!$N$5:$N$126,0)),"")</f>
        <v/>
      </c>
    </row>
    <row r="34" spans="2:5" x14ac:dyDescent="0.25">
      <c r="B34" s="51">
        <v>9</v>
      </c>
      <c r="C34" s="18" t="str">
        <f>IFERROR(IF(INDEX(Catálogo!$A$5:$A$126,MATCH($B34,Catálogo!$N$5:$N$126,0))="Acuáticas",INDEX(Catálogo!$B$5:$B$126,MATCH($B34,Catálogo!$N$5:$N$126,0)),INDEX(Catálogo!$A$5:$A$126,MATCH($B34,Catálogo!$N$5:$N$126,0))&amp;" "&amp;INDEX(Catálogo!$B$5:$B$126,MATCH($B34,Catálogo!$N$5:$N$126,0))),"")</f>
        <v/>
      </c>
      <c r="D34" s="18" t="str">
        <f>IFERROR(INDEX(Catálogo!$C$5:$C$126,MATCH($B34,Catálogo!$N$5:$N$126,0))&amp;" · "&amp;INDEX(Catálogo!$D$5:$D$126,MATCH($B34,Catálogo!$N$5:$N$126,0)),"")</f>
        <v/>
      </c>
      <c r="E34" s="18" t="str">
        <f>IFERROR(INDEX(Catálogo!$J$5:$J$126,MATCH($B34,Catálogo!$N$5:$N$126,0)),"")</f>
        <v/>
      </c>
    </row>
    <row r="35" spans="2:5" x14ac:dyDescent="0.25">
      <c r="B35" s="51">
        <v>10</v>
      </c>
      <c r="C35" s="18" t="str">
        <f>IFERROR(IF(INDEX(Catálogo!$A$5:$A$126,MATCH($B35,Catálogo!$N$5:$N$126,0))="Acuáticas",INDEX(Catálogo!$B$5:$B$126,MATCH($B35,Catálogo!$N$5:$N$126,0)),INDEX(Catálogo!$A$5:$A$126,MATCH($B35,Catálogo!$N$5:$N$126,0))&amp;" "&amp;INDEX(Catálogo!$B$5:$B$126,MATCH($B35,Catálogo!$N$5:$N$126,0))),"")</f>
        <v/>
      </c>
      <c r="D35" s="18" t="str">
        <f>IFERROR(INDEX(Catálogo!$C$5:$C$126,MATCH($B35,Catálogo!$N$5:$N$126,0))&amp;" · "&amp;INDEX(Catálogo!$D$5:$D$126,MATCH($B35,Catálogo!$N$5:$N$126,0)),"")</f>
        <v/>
      </c>
      <c r="E35" s="18" t="str">
        <f>IFERROR(INDEX(Catálogo!$J$5:$J$126,MATCH($B35,Catálogo!$N$5:$N$126,0)),"")</f>
        <v/>
      </c>
    </row>
    <row r="36" spans="2:5" x14ac:dyDescent="0.25">
      <c r="B36" s="51">
        <v>11</v>
      </c>
      <c r="C36" s="18" t="str">
        <f>IFERROR(IF(INDEX(Catálogo!$A$5:$A$126,MATCH($B36,Catálogo!$N$5:$N$126,0))="Acuáticas",INDEX(Catálogo!$B$5:$B$126,MATCH($B36,Catálogo!$N$5:$N$126,0)),INDEX(Catálogo!$A$5:$A$126,MATCH($B36,Catálogo!$N$5:$N$126,0))&amp;" "&amp;INDEX(Catálogo!$B$5:$B$126,MATCH($B36,Catálogo!$N$5:$N$126,0))),"")</f>
        <v/>
      </c>
      <c r="D36" s="18" t="str">
        <f>IFERROR(INDEX(Catálogo!$C$5:$C$126,MATCH($B36,Catálogo!$N$5:$N$126,0))&amp;" · "&amp;INDEX(Catálogo!$D$5:$D$126,MATCH($B36,Catálogo!$N$5:$N$126,0)),"")</f>
        <v/>
      </c>
      <c r="E36" s="18" t="str">
        <f>IFERROR(INDEX(Catálogo!$J$5:$J$126,MATCH($B36,Catálogo!$N$5:$N$126,0)),"")</f>
        <v/>
      </c>
    </row>
    <row r="37" spans="2:5" x14ac:dyDescent="0.25">
      <c r="B37" s="51">
        <v>12</v>
      </c>
      <c r="C37" s="18" t="str">
        <f>IFERROR(IF(INDEX(Catálogo!$A$5:$A$126,MATCH($B37,Catálogo!$N$5:$N$126,0))="Acuáticas",INDEX(Catálogo!$B$5:$B$126,MATCH($B37,Catálogo!$N$5:$N$126,0)),INDEX(Catálogo!$A$5:$A$126,MATCH($B37,Catálogo!$N$5:$N$126,0))&amp;" "&amp;INDEX(Catálogo!$B$5:$B$126,MATCH($B37,Catálogo!$N$5:$N$126,0))),"")</f>
        <v/>
      </c>
      <c r="D37" s="18" t="str">
        <f>IFERROR(INDEX(Catálogo!$C$5:$C$126,MATCH($B37,Catálogo!$N$5:$N$126,0))&amp;" · "&amp;INDEX(Catálogo!$D$5:$D$126,MATCH($B37,Catálogo!$N$5:$N$126,0)),"")</f>
        <v/>
      </c>
      <c r="E37" s="18" t="str">
        <f>IFERROR(INDEX(Catálogo!$J$5:$J$126,MATCH($B37,Catálogo!$N$5:$N$126,0)),"")</f>
        <v/>
      </c>
    </row>
    <row r="38" spans="2:5" x14ac:dyDescent="0.25">
      <c r="B38" s="51">
        <v>13</v>
      </c>
      <c r="C38" s="18" t="str">
        <f>IFERROR(IF(INDEX(Catálogo!$A$5:$A$126,MATCH($B38,Catálogo!$N$5:$N$126,0))="Acuáticas",INDEX(Catálogo!$B$5:$B$126,MATCH($B38,Catálogo!$N$5:$N$126,0)),INDEX(Catálogo!$A$5:$A$126,MATCH($B38,Catálogo!$N$5:$N$126,0))&amp;" "&amp;INDEX(Catálogo!$B$5:$B$126,MATCH($B38,Catálogo!$N$5:$N$126,0))),"")</f>
        <v/>
      </c>
      <c r="D38" s="18" t="str">
        <f>IFERROR(INDEX(Catálogo!$C$5:$C$126,MATCH($B38,Catálogo!$N$5:$N$126,0))&amp;" · "&amp;INDEX(Catálogo!$D$5:$D$126,MATCH($B38,Catálogo!$N$5:$N$126,0)),"")</f>
        <v/>
      </c>
      <c r="E38" s="18" t="str">
        <f>IFERROR(INDEX(Catálogo!$J$5:$J$126,MATCH($B38,Catálogo!$N$5:$N$126,0)),"")</f>
        <v/>
      </c>
    </row>
    <row r="39" spans="2:5" x14ac:dyDescent="0.25">
      <c r="B39" s="51">
        <v>14</v>
      </c>
      <c r="C39" s="18" t="str">
        <f>IFERROR(IF(INDEX(Catálogo!$A$5:$A$126,MATCH($B39,Catálogo!$N$5:$N$126,0))="Acuáticas",INDEX(Catálogo!$B$5:$B$126,MATCH($B39,Catálogo!$N$5:$N$126,0)),INDEX(Catálogo!$A$5:$A$126,MATCH($B39,Catálogo!$N$5:$N$126,0))&amp;" "&amp;INDEX(Catálogo!$B$5:$B$126,MATCH($B39,Catálogo!$N$5:$N$126,0))),"")</f>
        <v/>
      </c>
      <c r="D39" s="18" t="str">
        <f>IFERROR(INDEX(Catálogo!$C$5:$C$126,MATCH($B39,Catálogo!$N$5:$N$126,0))&amp;" · "&amp;INDEX(Catálogo!$D$5:$D$126,MATCH($B39,Catálogo!$N$5:$N$126,0)),"")</f>
        <v/>
      </c>
      <c r="E39" s="18" t="str">
        <f>IFERROR(INDEX(Catálogo!$J$5:$J$126,MATCH($B39,Catálogo!$N$5:$N$126,0)),"")</f>
        <v/>
      </c>
    </row>
    <row r="40" spans="2:5" x14ac:dyDescent="0.25">
      <c r="B40" s="51">
        <v>15</v>
      </c>
      <c r="C40" s="18" t="str">
        <f>IFERROR(IF(INDEX(Catálogo!$A$5:$A$126,MATCH($B40,Catálogo!$N$5:$N$126,0))="Acuáticas",INDEX(Catálogo!$B$5:$B$126,MATCH($B40,Catálogo!$N$5:$N$126,0)),INDEX(Catálogo!$A$5:$A$126,MATCH($B40,Catálogo!$N$5:$N$126,0))&amp;" "&amp;INDEX(Catálogo!$B$5:$B$126,MATCH($B40,Catálogo!$N$5:$N$126,0))),"")</f>
        <v/>
      </c>
      <c r="D40" s="18" t="str">
        <f>IFERROR(INDEX(Catálogo!$C$5:$C$126,MATCH($B40,Catálogo!$N$5:$N$126,0))&amp;" · "&amp;INDEX(Catálogo!$D$5:$D$126,MATCH($B40,Catálogo!$N$5:$N$126,0)),"")</f>
        <v/>
      </c>
      <c r="E40" s="18" t="str">
        <f>IFERROR(INDEX(Catálogo!$J$5:$J$126,MATCH($B40,Catálogo!$N$5:$N$126,0)),"")</f>
        <v/>
      </c>
    </row>
    <row r="41" spans="2:5" x14ac:dyDescent="0.25">
      <c r="B41" s="33" t="s">
        <v>211</v>
      </c>
    </row>
  </sheetData>
  <mergeCells count="1">
    <mergeCell ref="C19:D19"/>
  </mergeCells>
  <conditionalFormatting sqref="C15">
    <cfRule type="expression" dxfId="13" priority="2">
      <formula>$C$15="Confirmado"</formula>
    </cfRule>
    <cfRule type="expression" dxfId="12" priority="3">
      <formula>$C$15="Por equivalencia"</formula>
    </cfRule>
    <cfRule type="expression" dxfId="11" priority="4">
      <formula>LEFT($C$15,9)="Verificar"</formula>
    </cfRule>
  </conditionalFormatting>
  <dataValidations count="2">
    <dataValidation type="list" sqref="C5" xr:uid="{00000000-0002-0000-0300-000000000000}">
      <formula1>"Suzuki,Yamaha,Mercury,Parsun,Acuáticas"</formula1>
      <formula2>0</formula2>
    </dataValidation>
    <dataValidation type="list" sqref="C6" xr:uid="{00000000-0002-0000-0300-000001000000}">
      <formula1>INDIRECT($C$5)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2000000}">
          <x14:formula1>
            <xm:f>'Precios y Stock'!$A$5:$A$56</xm:f>
          </x14:formula1>
          <x14:formula2>
            <xm:f>0</xm:f>
          </x14:formula2>
          <xm:sqref>C22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F8F"/>
    <pageSetUpPr fitToPage="1"/>
  </sheetPr>
  <dimension ref="A1:N126"/>
  <sheetViews>
    <sheetView zoomScaleNormal="100" workbookViewId="0">
      <pane xSplit="2" ySplit="4" topLeftCell="C120" activePane="bottomRight" state="frozen"/>
      <selection pane="topRight" activeCell="C1" sqref="C1"/>
      <selection pane="bottomLeft" activeCell="A5" sqref="A5"/>
      <selection pane="bottomRight" activeCell="B127" sqref="B127"/>
    </sheetView>
  </sheetViews>
  <sheetFormatPr baseColWidth="10" defaultColWidth="8.7109375" defaultRowHeight="15" x14ac:dyDescent="0.25"/>
  <cols>
    <col min="1" max="1" width="10" customWidth="1"/>
    <col min="2" max="2" width="44" customWidth="1"/>
    <col min="3" max="3" width="7" customWidth="1"/>
    <col min="4" max="4" width="17" customWidth="1"/>
    <col min="5" max="5" width="13" customWidth="1"/>
    <col min="6" max="6" width="12" customWidth="1"/>
    <col min="7" max="7" width="11" customWidth="1"/>
    <col min="8" max="8" width="10" customWidth="1"/>
    <col min="9" max="9" width="20" customWidth="1"/>
    <col min="10" max="10" width="17" customWidth="1"/>
    <col min="11" max="11" width="30" customWidth="1"/>
    <col min="12" max="12" width="62" customWidth="1"/>
    <col min="13" max="13" width="12" hidden="1" customWidth="1"/>
    <col min="14" max="14" width="10" hidden="1" customWidth="1"/>
  </cols>
  <sheetData>
    <row r="1" spans="1:14" ht="23.25" x14ac:dyDescent="0.35">
      <c r="A1" s="27" t="s">
        <v>212</v>
      </c>
    </row>
    <row r="2" spans="1:14" x14ac:dyDescent="0.25">
      <c r="A2" s="14" t="s">
        <v>213</v>
      </c>
    </row>
    <row r="4" spans="1:14" ht="31.5" customHeight="1" x14ac:dyDescent="0.25">
      <c r="A4" s="16" t="s">
        <v>71</v>
      </c>
      <c r="B4" s="16" t="s">
        <v>191</v>
      </c>
      <c r="C4" s="16" t="s">
        <v>197</v>
      </c>
      <c r="D4" s="16" t="s">
        <v>198</v>
      </c>
      <c r="E4" s="16" t="s">
        <v>85</v>
      </c>
      <c r="F4" s="16" t="s">
        <v>194</v>
      </c>
      <c r="G4" s="16" t="s">
        <v>195</v>
      </c>
      <c r="H4" s="16" t="s">
        <v>196</v>
      </c>
      <c r="I4" s="16" t="s">
        <v>199</v>
      </c>
      <c r="J4" s="16" t="s">
        <v>210</v>
      </c>
      <c r="K4" s="16" t="s">
        <v>201</v>
      </c>
      <c r="L4" s="16" t="s">
        <v>202</v>
      </c>
      <c r="M4" s="16" t="s">
        <v>214</v>
      </c>
      <c r="N4" s="16" t="s">
        <v>215</v>
      </c>
    </row>
    <row r="5" spans="1:14" x14ac:dyDescent="0.25">
      <c r="A5" s="52" t="s">
        <v>77</v>
      </c>
      <c r="B5" s="18" t="s">
        <v>216</v>
      </c>
      <c r="C5" s="53" t="s">
        <v>217</v>
      </c>
      <c r="D5" s="52" t="s">
        <v>218</v>
      </c>
      <c r="E5" s="54" t="s">
        <v>219</v>
      </c>
      <c r="F5" s="53" t="s">
        <v>220</v>
      </c>
      <c r="G5" s="53">
        <v>11</v>
      </c>
      <c r="H5" s="53">
        <v>1</v>
      </c>
      <c r="I5" s="18" t="s">
        <v>75</v>
      </c>
      <c r="J5" s="52" t="s">
        <v>34</v>
      </c>
      <c r="K5" s="18" t="s">
        <v>221</v>
      </c>
      <c r="L5" s="18" t="s">
        <v>222</v>
      </c>
      <c r="M5" s="55" t="str">
        <f t="shared" ref="M5:M36" si="0">A5&amp;"|"&amp;B5</f>
        <v>Suzuki|DF2.5S</v>
      </c>
      <c r="N5" s="55" t="str">
        <f>IF($E5=Consulta!$C$22,COUNTIF($E$5:$E5,Consulta!$C$22),"")</f>
        <v/>
      </c>
    </row>
    <row r="6" spans="1:14" x14ac:dyDescent="0.25">
      <c r="A6" s="52" t="s">
        <v>77</v>
      </c>
      <c r="B6" s="18" t="s">
        <v>223</v>
      </c>
      <c r="C6" s="53" t="s">
        <v>217</v>
      </c>
      <c r="D6" s="52" t="s">
        <v>218</v>
      </c>
      <c r="E6" s="54" t="s">
        <v>224</v>
      </c>
      <c r="F6" s="53" t="s">
        <v>225</v>
      </c>
      <c r="G6" s="53" t="s">
        <v>226</v>
      </c>
      <c r="H6" s="53">
        <v>1</v>
      </c>
      <c r="I6" s="18" t="s">
        <v>75</v>
      </c>
      <c r="J6" s="52" t="s">
        <v>34</v>
      </c>
      <c r="K6" s="18" t="s">
        <v>221</v>
      </c>
      <c r="L6" s="18"/>
      <c r="M6" s="55" t="str">
        <f t="shared" si="0"/>
        <v>Suzuki|DF6AS</v>
      </c>
      <c r="N6" s="55" t="str">
        <f>IF($E6=Consulta!$C$22,COUNTIF($E$5:$E6,Consulta!$C$22),"")</f>
        <v/>
      </c>
    </row>
    <row r="7" spans="1:14" x14ac:dyDescent="0.25">
      <c r="A7" s="52" t="s">
        <v>77</v>
      </c>
      <c r="B7" s="18" t="s">
        <v>227</v>
      </c>
      <c r="C7" s="53" t="s">
        <v>217</v>
      </c>
      <c r="D7" s="52" t="s">
        <v>228</v>
      </c>
      <c r="E7" s="54" t="s">
        <v>229</v>
      </c>
      <c r="F7" s="53" t="s">
        <v>225</v>
      </c>
      <c r="G7" s="53">
        <v>11</v>
      </c>
      <c r="H7" s="53">
        <v>2</v>
      </c>
      <c r="I7" s="18" t="s">
        <v>75</v>
      </c>
      <c r="J7" s="52" t="s">
        <v>34</v>
      </c>
      <c r="K7" s="18" t="s">
        <v>221</v>
      </c>
      <c r="L7" s="18"/>
      <c r="M7" s="55" t="str">
        <f t="shared" si="0"/>
        <v>Suzuki|DF20AS/AL</v>
      </c>
      <c r="N7" s="55" t="str">
        <f>IF($E7=Consulta!$C$22,COUNTIF($E$5:$E7,Consulta!$C$22),"")</f>
        <v/>
      </c>
    </row>
    <row r="8" spans="1:14" x14ac:dyDescent="0.25">
      <c r="A8" s="52" t="s">
        <v>77</v>
      </c>
      <c r="B8" s="18" t="s">
        <v>192</v>
      </c>
      <c r="C8" s="53" t="s">
        <v>217</v>
      </c>
      <c r="D8" s="52" t="s">
        <v>230</v>
      </c>
      <c r="E8" s="54" t="s">
        <v>231</v>
      </c>
      <c r="F8" s="53" t="s">
        <v>225</v>
      </c>
      <c r="G8" s="53">
        <v>18</v>
      </c>
      <c r="H8" s="53">
        <v>4</v>
      </c>
      <c r="I8" s="18" t="s">
        <v>75</v>
      </c>
      <c r="J8" s="52" t="s">
        <v>34</v>
      </c>
      <c r="K8" s="18" t="s">
        <v>221</v>
      </c>
      <c r="L8" s="18" t="s">
        <v>232</v>
      </c>
      <c r="M8" s="55" t="str">
        <f t="shared" si="0"/>
        <v>Suzuki|DF60AQHL/ATL</v>
      </c>
      <c r="N8" s="55" t="str">
        <f>IF($E8=Consulta!$C$22,COUNTIF($E$5:$E8,Consulta!$C$22),"")</f>
        <v/>
      </c>
    </row>
    <row r="9" spans="1:14" x14ac:dyDescent="0.25">
      <c r="A9" s="52" t="s">
        <v>77</v>
      </c>
      <c r="B9" s="18" t="s">
        <v>233</v>
      </c>
      <c r="C9" s="53" t="s">
        <v>217</v>
      </c>
      <c r="D9" s="52" t="s">
        <v>230</v>
      </c>
      <c r="E9" s="54" t="s">
        <v>231</v>
      </c>
      <c r="F9" s="53" t="s">
        <v>225</v>
      </c>
      <c r="G9" s="53">
        <v>18</v>
      </c>
      <c r="H9" s="53">
        <v>4</v>
      </c>
      <c r="I9" s="18" t="s">
        <v>75</v>
      </c>
      <c r="J9" s="52" t="s">
        <v>34</v>
      </c>
      <c r="K9" s="18" t="s">
        <v>221</v>
      </c>
      <c r="L9" s="18" t="s">
        <v>232</v>
      </c>
      <c r="M9" s="55" t="str">
        <f t="shared" si="0"/>
        <v>Suzuki|DF90ATL/ATX, DF90AWQHL/AWQHX</v>
      </c>
      <c r="N9" s="55" t="str">
        <f>IF($E9=Consulta!$C$22,COUNTIF($E$5:$E9,Consulta!$C$22),"")</f>
        <v/>
      </c>
    </row>
    <row r="10" spans="1:14" x14ac:dyDescent="0.25">
      <c r="A10" s="52" t="s">
        <v>77</v>
      </c>
      <c r="B10" s="18" t="s">
        <v>234</v>
      </c>
      <c r="C10" s="53" t="s">
        <v>217</v>
      </c>
      <c r="D10" s="52" t="s">
        <v>230</v>
      </c>
      <c r="E10" s="54" t="s">
        <v>206</v>
      </c>
      <c r="F10" s="53" t="s">
        <v>225</v>
      </c>
      <c r="G10" s="53">
        <v>17</v>
      </c>
      <c r="H10" s="53">
        <v>4</v>
      </c>
      <c r="I10" s="18" t="s">
        <v>75</v>
      </c>
      <c r="J10" s="52" t="s">
        <v>34</v>
      </c>
      <c r="K10" s="18" t="s">
        <v>221</v>
      </c>
      <c r="L10" s="18" t="s">
        <v>235</v>
      </c>
      <c r="M10" s="55" t="str">
        <f t="shared" si="0"/>
        <v>Suzuki|DF115BTL/BTX (Stealth/blanco)</v>
      </c>
      <c r="N10" s="55">
        <f>IF($E10=Consulta!$C$22,COUNTIF($E$5:$E10,Consulta!$C$22),"")</f>
        <v>1</v>
      </c>
    </row>
    <row r="11" spans="1:14" x14ac:dyDescent="0.25">
      <c r="A11" s="52" t="s">
        <v>77</v>
      </c>
      <c r="B11" s="18" t="s">
        <v>236</v>
      </c>
      <c r="C11" s="53" t="s">
        <v>217</v>
      </c>
      <c r="D11" s="52" t="s">
        <v>230</v>
      </c>
      <c r="E11" s="54" t="s">
        <v>206</v>
      </c>
      <c r="F11" s="53" t="s">
        <v>225</v>
      </c>
      <c r="G11" s="53">
        <v>17</v>
      </c>
      <c r="H11" s="53">
        <v>4</v>
      </c>
      <c r="I11" s="18" t="s">
        <v>75</v>
      </c>
      <c r="J11" s="52" t="s">
        <v>34</v>
      </c>
      <c r="K11" s="18" t="s">
        <v>221</v>
      </c>
      <c r="L11" s="18" t="s">
        <v>235</v>
      </c>
      <c r="M11" s="55" t="str">
        <f t="shared" si="0"/>
        <v>Suzuki|DF150ATL/ATX/AZX</v>
      </c>
      <c r="N11" s="55">
        <f>IF($E11=Consulta!$C$22,COUNTIF($E$5:$E11,Consulta!$C$22),"")</f>
        <v>2</v>
      </c>
    </row>
    <row r="12" spans="1:14" x14ac:dyDescent="0.25">
      <c r="A12" s="52" t="s">
        <v>77</v>
      </c>
      <c r="B12" s="18" t="s">
        <v>237</v>
      </c>
      <c r="C12" s="53" t="s">
        <v>217</v>
      </c>
      <c r="D12" s="52" t="s">
        <v>238</v>
      </c>
      <c r="E12" s="54" t="s">
        <v>239</v>
      </c>
      <c r="F12" s="53" t="s">
        <v>240</v>
      </c>
      <c r="G12" s="53">
        <v>28</v>
      </c>
      <c r="H12" s="53">
        <v>6</v>
      </c>
      <c r="I12" s="18" t="s">
        <v>75</v>
      </c>
      <c r="J12" s="52" t="s">
        <v>34</v>
      </c>
      <c r="K12" s="18" t="s">
        <v>221</v>
      </c>
      <c r="L12" s="18" t="s">
        <v>241</v>
      </c>
      <c r="M12" s="55" t="str">
        <f t="shared" si="0"/>
        <v>Suzuki|DF200TL/TX/ZX</v>
      </c>
      <c r="N12" s="55" t="str">
        <f>IF($E12=Consulta!$C$22,COUNTIF($E$5:$E12,Consulta!$C$22),"")</f>
        <v/>
      </c>
    </row>
    <row r="13" spans="1:14" x14ac:dyDescent="0.25">
      <c r="A13" s="52" t="s">
        <v>77</v>
      </c>
      <c r="B13" s="18" t="s">
        <v>242</v>
      </c>
      <c r="C13" s="53" t="s">
        <v>217</v>
      </c>
      <c r="D13" s="52" t="s">
        <v>243</v>
      </c>
      <c r="E13" s="54" t="s">
        <v>239</v>
      </c>
      <c r="F13" s="53" t="s">
        <v>240</v>
      </c>
      <c r="G13" s="53">
        <v>28</v>
      </c>
      <c r="H13" s="53">
        <v>6</v>
      </c>
      <c r="I13" s="18" t="s">
        <v>75</v>
      </c>
      <c r="J13" s="52" t="s">
        <v>34</v>
      </c>
      <c r="K13" s="18" t="s">
        <v>221</v>
      </c>
      <c r="L13" s="18" t="s">
        <v>241</v>
      </c>
      <c r="M13" s="55" t="str">
        <f t="shared" si="0"/>
        <v>Suzuki|DF250TX/ZX/TXX/ZXX</v>
      </c>
      <c r="N13" s="55" t="str">
        <f>IF($E13=Consulta!$C$22,COUNTIF($E$5:$E13,Consulta!$C$22),"")</f>
        <v/>
      </c>
    </row>
    <row r="14" spans="1:14" x14ac:dyDescent="0.25">
      <c r="A14" s="52" t="s">
        <v>77</v>
      </c>
      <c r="B14" s="18" t="s">
        <v>244</v>
      </c>
      <c r="C14" s="53" t="s">
        <v>217</v>
      </c>
      <c r="D14" s="52" t="s">
        <v>243</v>
      </c>
      <c r="E14" s="54" t="s">
        <v>239</v>
      </c>
      <c r="F14" s="53" t="s">
        <v>240</v>
      </c>
      <c r="G14" s="53">
        <v>28</v>
      </c>
      <c r="H14" s="53">
        <v>6</v>
      </c>
      <c r="I14" s="18" t="s">
        <v>75</v>
      </c>
      <c r="J14" s="52" t="s">
        <v>34</v>
      </c>
      <c r="K14" s="18" t="s">
        <v>221</v>
      </c>
      <c r="L14" s="18" t="s">
        <v>241</v>
      </c>
      <c r="M14" s="55" t="str">
        <f t="shared" si="0"/>
        <v>Suzuki|DF300APX/APXX (Stealth/blanco)</v>
      </c>
      <c r="N14" s="55" t="str">
        <f>IF($E14=Consulta!$C$22,COUNTIF($E$5:$E14,Consulta!$C$22),"")</f>
        <v/>
      </c>
    </row>
    <row r="15" spans="1:14" x14ac:dyDescent="0.25">
      <c r="A15" s="52" t="s">
        <v>77</v>
      </c>
      <c r="B15" s="18" t="s">
        <v>245</v>
      </c>
      <c r="C15" s="53" t="s">
        <v>217</v>
      </c>
      <c r="D15" s="52" t="s">
        <v>243</v>
      </c>
      <c r="E15" s="54" t="s">
        <v>246</v>
      </c>
      <c r="F15" s="53" t="s">
        <v>240</v>
      </c>
      <c r="G15" s="53">
        <v>17</v>
      </c>
      <c r="H15" s="53">
        <v>6</v>
      </c>
      <c r="I15" s="18" t="s">
        <v>75</v>
      </c>
      <c r="J15" s="52" t="s">
        <v>34</v>
      </c>
      <c r="K15" s="18" t="s">
        <v>221</v>
      </c>
      <c r="L15" s="18" t="s">
        <v>247</v>
      </c>
      <c r="M15" s="55" t="str">
        <f t="shared" si="0"/>
        <v>Suzuki|DF325ATX/ATXX (blanco)</v>
      </c>
      <c r="N15" s="55" t="str">
        <f>IF($E15=Consulta!$C$22,COUNTIF($E$5:$E15,Consulta!$C$22),"")</f>
        <v/>
      </c>
    </row>
    <row r="16" spans="1:14" x14ac:dyDescent="0.25">
      <c r="A16" s="52" t="s">
        <v>77</v>
      </c>
      <c r="B16" s="18" t="s">
        <v>248</v>
      </c>
      <c r="C16" s="53" t="s">
        <v>249</v>
      </c>
      <c r="D16" s="52" t="s">
        <v>228</v>
      </c>
      <c r="E16" s="54" t="s">
        <v>250</v>
      </c>
      <c r="F16" s="53" t="s">
        <v>251</v>
      </c>
      <c r="G16" s="53"/>
      <c r="H16" s="53">
        <v>2</v>
      </c>
      <c r="I16" s="18" t="s">
        <v>75</v>
      </c>
      <c r="J16" s="52" t="s">
        <v>34</v>
      </c>
      <c r="K16" s="18" t="s">
        <v>221</v>
      </c>
      <c r="L16" s="18" t="s">
        <v>252</v>
      </c>
      <c r="M16" s="55" t="str">
        <f t="shared" si="0"/>
        <v>Suzuki|DT30S/L</v>
      </c>
      <c r="N16" s="55" t="str">
        <f>IF($E16=Consulta!$C$22,COUNTIF($E$5:$E16,Consulta!$C$22),"")</f>
        <v/>
      </c>
    </row>
    <row r="17" spans="1:14" x14ac:dyDescent="0.25">
      <c r="A17" s="52" t="s">
        <v>77</v>
      </c>
      <c r="B17" s="18" t="s">
        <v>253</v>
      </c>
      <c r="C17" s="53" t="s">
        <v>217</v>
      </c>
      <c r="D17" s="52" t="s">
        <v>218</v>
      </c>
      <c r="E17" s="54" t="s">
        <v>254</v>
      </c>
      <c r="F17" s="53" t="s">
        <v>240</v>
      </c>
      <c r="G17" s="53"/>
      <c r="H17" s="53"/>
      <c r="I17" s="18" t="s">
        <v>255</v>
      </c>
      <c r="J17" s="52" t="s">
        <v>34</v>
      </c>
      <c r="K17" s="18" t="s">
        <v>256</v>
      </c>
      <c r="L17" s="18"/>
      <c r="M17" s="55" t="str">
        <f t="shared" si="0"/>
        <v>Suzuki|DF4/5/6 (2002–2010)</v>
      </c>
      <c r="N17" s="55" t="str">
        <f>IF($E17=Consulta!$C$22,COUNTIF($E$5:$E17,Consulta!$C$22),"")</f>
        <v/>
      </c>
    </row>
    <row r="18" spans="1:14" x14ac:dyDescent="0.25">
      <c r="A18" s="52" t="s">
        <v>77</v>
      </c>
      <c r="B18" s="18" t="s">
        <v>257</v>
      </c>
      <c r="C18" s="53" t="s">
        <v>217</v>
      </c>
      <c r="D18" s="52" t="s">
        <v>218</v>
      </c>
      <c r="E18" s="54" t="s">
        <v>224</v>
      </c>
      <c r="F18" s="53" t="s">
        <v>225</v>
      </c>
      <c r="G18" s="53"/>
      <c r="H18" s="53"/>
      <c r="I18" s="18" t="s">
        <v>255</v>
      </c>
      <c r="J18" s="52" t="s">
        <v>34</v>
      </c>
      <c r="K18" s="18" t="s">
        <v>256</v>
      </c>
      <c r="L18" s="18"/>
      <c r="M18" s="55" t="str">
        <f t="shared" si="0"/>
        <v>Suzuki|DF4A/5A/6A (2011+)</v>
      </c>
      <c r="N18" s="55" t="str">
        <f>IF($E18=Consulta!$C$22,COUNTIF($E$5:$E18,Consulta!$C$22),"")</f>
        <v/>
      </c>
    </row>
    <row r="19" spans="1:14" x14ac:dyDescent="0.25">
      <c r="A19" s="52" t="s">
        <v>77</v>
      </c>
      <c r="B19" s="18" t="s">
        <v>258</v>
      </c>
      <c r="C19" s="53" t="s">
        <v>217</v>
      </c>
      <c r="D19" s="52" t="s">
        <v>228</v>
      </c>
      <c r="E19" s="54" t="s">
        <v>259</v>
      </c>
      <c r="F19" s="53" t="s">
        <v>240</v>
      </c>
      <c r="G19" s="53"/>
      <c r="H19" s="53"/>
      <c r="I19" s="18" t="s">
        <v>255</v>
      </c>
      <c r="J19" s="52" t="s">
        <v>34</v>
      </c>
      <c r="K19" s="18" t="s">
        <v>256</v>
      </c>
      <c r="L19" s="18"/>
      <c r="M19" s="55" t="str">
        <f t="shared" si="0"/>
        <v>Suzuki|DF8A/9.9A (2010+)</v>
      </c>
      <c r="N19" s="55" t="str">
        <f>IF($E19=Consulta!$C$22,COUNTIF($E$5:$E19,Consulta!$C$22),"")</f>
        <v/>
      </c>
    </row>
    <row r="20" spans="1:14" x14ac:dyDescent="0.25">
      <c r="A20" s="52" t="s">
        <v>77</v>
      </c>
      <c r="B20" s="18" t="s">
        <v>260</v>
      </c>
      <c r="C20" s="53" t="s">
        <v>217</v>
      </c>
      <c r="D20" s="52" t="s">
        <v>228</v>
      </c>
      <c r="E20" s="54" t="s">
        <v>239</v>
      </c>
      <c r="F20" s="53" t="s">
        <v>240</v>
      </c>
      <c r="G20" s="53"/>
      <c r="H20" s="53"/>
      <c r="I20" s="18" t="s">
        <v>255</v>
      </c>
      <c r="J20" s="52" t="s">
        <v>34</v>
      </c>
      <c r="K20" s="18" t="s">
        <v>256</v>
      </c>
      <c r="L20" s="18"/>
      <c r="M20" s="55" t="str">
        <f t="shared" si="0"/>
        <v>Suzuki|DF9.9/15 carburados (2005–2010)</v>
      </c>
      <c r="N20" s="55" t="str">
        <f>IF($E20=Consulta!$C$22,COUNTIF($E$5:$E20,Consulta!$C$22),"")</f>
        <v/>
      </c>
    </row>
    <row r="21" spans="1:14" x14ac:dyDescent="0.25">
      <c r="A21" s="52" t="s">
        <v>77</v>
      </c>
      <c r="B21" s="18" t="s">
        <v>261</v>
      </c>
      <c r="C21" s="53" t="s">
        <v>217</v>
      </c>
      <c r="D21" s="52" t="s">
        <v>228</v>
      </c>
      <c r="E21" s="54" t="s">
        <v>224</v>
      </c>
      <c r="F21" s="53" t="s">
        <v>225</v>
      </c>
      <c r="G21" s="53"/>
      <c r="H21" s="53"/>
      <c r="I21" s="18" t="s">
        <v>255</v>
      </c>
      <c r="J21" s="52" t="s">
        <v>34</v>
      </c>
      <c r="K21" s="18" t="s">
        <v>256</v>
      </c>
      <c r="L21" s="18"/>
      <c r="M21" s="55" t="str">
        <f t="shared" si="0"/>
        <v>Suzuki|DF9.9B/15A/20A (2013–2017)</v>
      </c>
      <c r="N21" s="55" t="str">
        <f>IF($E21=Consulta!$C$22,COUNTIF($E$5:$E21,Consulta!$C$22),"")</f>
        <v/>
      </c>
    </row>
    <row r="22" spans="1:14" x14ac:dyDescent="0.25">
      <c r="A22" s="52" t="s">
        <v>77</v>
      </c>
      <c r="B22" s="18" t="s">
        <v>262</v>
      </c>
      <c r="C22" s="53" t="s">
        <v>217</v>
      </c>
      <c r="D22" s="52" t="s">
        <v>263</v>
      </c>
      <c r="E22" s="54" t="s">
        <v>231</v>
      </c>
      <c r="F22" s="53" t="s">
        <v>264</v>
      </c>
      <c r="G22" s="53"/>
      <c r="H22" s="53"/>
      <c r="I22" s="18" t="s">
        <v>255</v>
      </c>
      <c r="J22" s="52" t="s">
        <v>34</v>
      </c>
      <c r="K22" s="18" t="s">
        <v>256</v>
      </c>
      <c r="L22" s="18"/>
      <c r="M22" s="55" t="str">
        <f t="shared" si="0"/>
        <v>Suzuki|DF25/30 (2000–2004)</v>
      </c>
      <c r="N22" s="55" t="str">
        <f>IF($E22=Consulta!$C$22,COUNTIF($E$5:$E22,Consulta!$C$22),"")</f>
        <v/>
      </c>
    </row>
    <row r="23" spans="1:14" x14ac:dyDescent="0.25">
      <c r="A23" s="52" t="s">
        <v>77</v>
      </c>
      <c r="B23" s="18" t="s">
        <v>265</v>
      </c>
      <c r="C23" s="53" t="s">
        <v>217</v>
      </c>
      <c r="D23" s="52" t="s">
        <v>266</v>
      </c>
      <c r="E23" s="54" t="s">
        <v>231</v>
      </c>
      <c r="F23" s="53" t="s">
        <v>225</v>
      </c>
      <c r="G23" s="53"/>
      <c r="H23" s="53"/>
      <c r="I23" s="18" t="s">
        <v>255</v>
      </c>
      <c r="J23" s="52" t="s">
        <v>34</v>
      </c>
      <c r="K23" s="18" t="s">
        <v>256</v>
      </c>
      <c r="L23" s="18"/>
      <c r="M23" s="55" t="str">
        <f t="shared" si="0"/>
        <v>Suzuki|DF40/50 y DF40A/50A</v>
      </c>
      <c r="N23" s="55" t="str">
        <f>IF($E23=Consulta!$C$22,COUNTIF($E$5:$E23,Consulta!$C$22),"")</f>
        <v/>
      </c>
    </row>
    <row r="24" spans="1:14" x14ac:dyDescent="0.25">
      <c r="A24" s="52" t="s">
        <v>77</v>
      </c>
      <c r="B24" s="18" t="s">
        <v>267</v>
      </c>
      <c r="C24" s="53" t="s">
        <v>217</v>
      </c>
      <c r="D24" s="52" t="s">
        <v>266</v>
      </c>
      <c r="E24" s="54" t="s">
        <v>254</v>
      </c>
      <c r="F24" s="53" t="s">
        <v>240</v>
      </c>
      <c r="G24" s="53"/>
      <c r="H24" s="53"/>
      <c r="I24" s="18" t="s">
        <v>255</v>
      </c>
      <c r="J24" s="52" t="s">
        <v>34</v>
      </c>
      <c r="K24" s="18" t="s">
        <v>256</v>
      </c>
      <c r="L24" s="18"/>
      <c r="M24" s="55" t="str">
        <f t="shared" si="0"/>
        <v>Suzuki|DF60/70 (1998–2009)</v>
      </c>
      <c r="N24" s="55" t="str">
        <f>IF($E24=Consulta!$C$22,COUNTIF($E$5:$E24,Consulta!$C$22),"")</f>
        <v/>
      </c>
    </row>
    <row r="25" spans="1:14" x14ac:dyDescent="0.25">
      <c r="A25" s="52" t="s">
        <v>77</v>
      </c>
      <c r="B25" s="18" t="s">
        <v>268</v>
      </c>
      <c r="C25" s="53" t="s">
        <v>217</v>
      </c>
      <c r="D25" s="52" t="s">
        <v>266</v>
      </c>
      <c r="E25" s="54" t="s">
        <v>231</v>
      </c>
      <c r="F25" s="53" t="s">
        <v>225</v>
      </c>
      <c r="G25" s="53"/>
      <c r="H25" s="53"/>
      <c r="I25" s="18" t="s">
        <v>255</v>
      </c>
      <c r="J25" s="52" t="s">
        <v>34</v>
      </c>
      <c r="K25" s="18" t="s">
        <v>256</v>
      </c>
      <c r="L25" s="18"/>
      <c r="M25" s="55" t="str">
        <f t="shared" si="0"/>
        <v>Suzuki|DF70A/80A/90A/100B (2009+)</v>
      </c>
      <c r="N25" s="55" t="str">
        <f>IF($E25=Consulta!$C$22,COUNTIF($E$5:$E25,Consulta!$C$22),"")</f>
        <v/>
      </c>
    </row>
    <row r="26" spans="1:14" x14ac:dyDescent="0.25">
      <c r="A26" s="52" t="s">
        <v>77</v>
      </c>
      <c r="B26" s="18" t="s">
        <v>269</v>
      </c>
      <c r="C26" s="53" t="s">
        <v>217</v>
      </c>
      <c r="D26" s="52" t="s">
        <v>266</v>
      </c>
      <c r="E26" s="54" t="s">
        <v>239</v>
      </c>
      <c r="F26" s="53" t="s">
        <v>240</v>
      </c>
      <c r="G26" s="53"/>
      <c r="H26" s="53"/>
      <c r="I26" s="18" t="s">
        <v>255</v>
      </c>
      <c r="J26" s="52" t="s">
        <v>34</v>
      </c>
      <c r="K26" s="18" t="s">
        <v>256</v>
      </c>
      <c r="L26" s="18"/>
      <c r="M26" s="55" t="str">
        <f t="shared" si="0"/>
        <v>Suzuki|DF90 sin 'A', DF100A/115A/140A</v>
      </c>
      <c r="N26" s="55" t="str">
        <f>IF($E26=Consulta!$C$22,COUNTIF($E$5:$E26,Consulta!$C$22),"")</f>
        <v/>
      </c>
    </row>
    <row r="27" spans="1:14" x14ac:dyDescent="0.25">
      <c r="A27" s="52" t="s">
        <v>77</v>
      </c>
      <c r="B27" s="18" t="s">
        <v>270</v>
      </c>
      <c r="C27" s="53" t="s">
        <v>217</v>
      </c>
      <c r="D27" s="52" t="s">
        <v>230</v>
      </c>
      <c r="E27" s="54" t="s">
        <v>206</v>
      </c>
      <c r="F27" s="53" t="s">
        <v>225</v>
      </c>
      <c r="G27" s="53"/>
      <c r="H27" s="53"/>
      <c r="I27" s="18" t="s">
        <v>255</v>
      </c>
      <c r="J27" s="52" t="s">
        <v>34</v>
      </c>
      <c r="K27" s="18" t="s">
        <v>256</v>
      </c>
      <c r="L27" s="18"/>
      <c r="M27" s="55" t="str">
        <f t="shared" si="0"/>
        <v>Suzuki|DF115B/140B</v>
      </c>
      <c r="N27" s="55">
        <f>IF($E27=Consulta!$C$22,COUNTIF($E$5:$E27,Consulta!$C$22),"")</f>
        <v>3</v>
      </c>
    </row>
    <row r="28" spans="1:14" x14ac:dyDescent="0.25">
      <c r="A28" s="52" t="s">
        <v>77</v>
      </c>
      <c r="B28" s="18" t="s">
        <v>271</v>
      </c>
      <c r="C28" s="53" t="s">
        <v>217</v>
      </c>
      <c r="D28" s="52" t="s">
        <v>266</v>
      </c>
      <c r="E28" s="54" t="s">
        <v>239</v>
      </c>
      <c r="F28" s="53" t="s">
        <v>240</v>
      </c>
      <c r="G28" s="53"/>
      <c r="H28" s="53"/>
      <c r="I28" s="18" t="s">
        <v>255</v>
      </c>
      <c r="J28" s="52" t="s">
        <v>34</v>
      </c>
      <c r="K28" s="18" t="s">
        <v>256</v>
      </c>
      <c r="L28" s="18"/>
      <c r="M28" s="55" t="str">
        <f t="shared" si="0"/>
        <v>Suzuki|DF150/175 sin 'AP'</v>
      </c>
      <c r="N28" s="55" t="str">
        <f>IF($E28=Consulta!$C$22,COUNTIF($E$5:$E28,Consulta!$C$22),"")</f>
        <v/>
      </c>
    </row>
    <row r="29" spans="1:14" x14ac:dyDescent="0.25">
      <c r="A29" s="52" t="s">
        <v>77</v>
      </c>
      <c r="B29" s="18" t="s">
        <v>272</v>
      </c>
      <c r="C29" s="53" t="s">
        <v>249</v>
      </c>
      <c r="D29" s="52" t="s">
        <v>218</v>
      </c>
      <c r="E29" s="54" t="s">
        <v>273</v>
      </c>
      <c r="F29" s="53" t="s">
        <v>274</v>
      </c>
      <c r="G29" s="53"/>
      <c r="H29" s="53"/>
      <c r="I29" s="18" t="s">
        <v>255</v>
      </c>
      <c r="J29" s="52" t="s">
        <v>34</v>
      </c>
      <c r="K29" s="18" t="s">
        <v>256</v>
      </c>
      <c r="L29" s="18" t="s">
        <v>275</v>
      </c>
      <c r="M29" s="55" t="str">
        <f t="shared" si="0"/>
        <v>Suzuki|DT2/2.2</v>
      </c>
      <c r="N29" s="55" t="str">
        <f>IF($E29=Consulta!$C$22,COUNTIF($E$5:$E29,Consulta!$C$22),"")</f>
        <v/>
      </c>
    </row>
    <row r="30" spans="1:14" x14ac:dyDescent="0.25">
      <c r="A30" s="52" t="s">
        <v>77</v>
      </c>
      <c r="B30" s="18" t="s">
        <v>276</v>
      </c>
      <c r="C30" s="53" t="s">
        <v>249</v>
      </c>
      <c r="D30" s="52" t="s">
        <v>266</v>
      </c>
      <c r="E30" s="54" t="s">
        <v>277</v>
      </c>
      <c r="F30" s="53" t="s">
        <v>278</v>
      </c>
      <c r="G30" s="53"/>
      <c r="H30" s="53"/>
      <c r="I30" s="18" t="s">
        <v>255</v>
      </c>
      <c r="J30" s="52" t="s">
        <v>34</v>
      </c>
      <c r="K30" s="18" t="s">
        <v>256</v>
      </c>
      <c r="L30" s="18" t="s">
        <v>275</v>
      </c>
      <c r="M30" s="55" t="str">
        <f t="shared" si="0"/>
        <v>Suzuki|DT4/5/6/8 (desde 1986)</v>
      </c>
      <c r="N30" s="55" t="str">
        <f>IF($E30=Consulta!$C$22,COUNTIF($E$5:$E30,Consulta!$C$22),"")</f>
        <v/>
      </c>
    </row>
    <row r="31" spans="1:14" x14ac:dyDescent="0.25">
      <c r="A31" s="52" t="s">
        <v>77</v>
      </c>
      <c r="B31" s="18" t="s">
        <v>279</v>
      </c>
      <c r="C31" s="53" t="s">
        <v>249</v>
      </c>
      <c r="D31" s="52" t="s">
        <v>228</v>
      </c>
      <c r="E31" s="54" t="s">
        <v>280</v>
      </c>
      <c r="F31" s="53" t="s">
        <v>264</v>
      </c>
      <c r="G31" s="53"/>
      <c r="H31" s="53"/>
      <c r="I31" s="18" t="s">
        <v>255</v>
      </c>
      <c r="J31" s="52" t="s">
        <v>34</v>
      </c>
      <c r="K31" s="18" t="s">
        <v>256</v>
      </c>
      <c r="L31" s="18" t="s">
        <v>275</v>
      </c>
      <c r="M31" s="55" t="str">
        <f t="shared" si="0"/>
        <v>Suzuki|DT9.9/15/16 (2 cil.)</v>
      </c>
      <c r="N31" s="55" t="str">
        <f>IF($E31=Consulta!$C$22,COUNTIF($E$5:$E31,Consulta!$C$22),"")</f>
        <v/>
      </c>
    </row>
    <row r="32" spans="1:14" x14ac:dyDescent="0.25">
      <c r="A32" s="52" t="s">
        <v>77</v>
      </c>
      <c r="B32" s="18" t="s">
        <v>281</v>
      </c>
      <c r="C32" s="53" t="s">
        <v>249</v>
      </c>
      <c r="D32" s="52" t="s">
        <v>266</v>
      </c>
      <c r="E32" s="54" t="s">
        <v>250</v>
      </c>
      <c r="F32" s="53" t="s">
        <v>251</v>
      </c>
      <c r="G32" s="53"/>
      <c r="H32" s="53"/>
      <c r="I32" s="18" t="s">
        <v>255</v>
      </c>
      <c r="J32" s="52" t="s">
        <v>34</v>
      </c>
      <c r="K32" s="18" t="s">
        <v>256</v>
      </c>
      <c r="L32" s="18" t="s">
        <v>275</v>
      </c>
      <c r="M32" s="55" t="str">
        <f t="shared" si="0"/>
        <v>Suzuki|DT15C/E, DT20/25E/30</v>
      </c>
      <c r="N32" s="55" t="str">
        <f>IF($E32=Consulta!$C$22,COUNTIF($E$5:$E32,Consulta!$C$22),"")</f>
        <v/>
      </c>
    </row>
    <row r="33" spans="1:14" x14ac:dyDescent="0.25">
      <c r="A33" s="52" t="s">
        <v>77</v>
      </c>
      <c r="B33" s="18" t="s">
        <v>282</v>
      </c>
      <c r="C33" s="53" t="s">
        <v>249</v>
      </c>
      <c r="D33" s="52" t="s">
        <v>266</v>
      </c>
      <c r="E33" s="54" t="s">
        <v>283</v>
      </c>
      <c r="F33" s="53" t="s">
        <v>240</v>
      </c>
      <c r="G33" s="53"/>
      <c r="H33" s="53"/>
      <c r="I33" s="18" t="s">
        <v>255</v>
      </c>
      <c r="J33" s="52" t="s">
        <v>34</v>
      </c>
      <c r="K33" s="18" t="s">
        <v>256</v>
      </c>
      <c r="L33" s="18" t="s">
        <v>275</v>
      </c>
      <c r="M33" s="55" t="str">
        <f t="shared" si="0"/>
        <v>Suzuki|DT40/50</v>
      </c>
      <c r="N33" s="55" t="str">
        <f>IF($E33=Consulta!$C$22,COUNTIF($E$5:$E33,Consulta!$C$22),"")</f>
        <v/>
      </c>
    </row>
    <row r="34" spans="1:14" x14ac:dyDescent="0.25">
      <c r="A34" s="52" t="s">
        <v>77</v>
      </c>
      <c r="B34" s="18" t="s">
        <v>284</v>
      </c>
      <c r="C34" s="53" t="s">
        <v>249</v>
      </c>
      <c r="D34" s="52" t="s">
        <v>266</v>
      </c>
      <c r="E34" s="54" t="s">
        <v>285</v>
      </c>
      <c r="F34" s="53" t="s">
        <v>251</v>
      </c>
      <c r="G34" s="53"/>
      <c r="H34" s="53"/>
      <c r="I34" s="18" t="s">
        <v>255</v>
      </c>
      <c r="J34" s="52" t="s">
        <v>34</v>
      </c>
      <c r="K34" s="18" t="s">
        <v>256</v>
      </c>
      <c r="L34" s="18" t="s">
        <v>275</v>
      </c>
      <c r="M34" s="55" t="str">
        <f t="shared" si="0"/>
        <v>Suzuki|DT55/60/75C</v>
      </c>
      <c r="N34" s="55" t="str">
        <f>IF($E34=Consulta!$C$22,COUNTIF($E$5:$E34,Consulta!$C$22),"")</f>
        <v/>
      </c>
    </row>
    <row r="35" spans="1:14" x14ac:dyDescent="0.25">
      <c r="A35" s="52" t="s">
        <v>77</v>
      </c>
      <c r="B35" s="18" t="s">
        <v>286</v>
      </c>
      <c r="C35" s="53" t="s">
        <v>249</v>
      </c>
      <c r="D35" s="52" t="s">
        <v>266</v>
      </c>
      <c r="E35" s="54" t="s">
        <v>283</v>
      </c>
      <c r="F35" s="53" t="s">
        <v>240</v>
      </c>
      <c r="G35" s="53"/>
      <c r="H35" s="53"/>
      <c r="I35" s="18" t="s">
        <v>255</v>
      </c>
      <c r="J35" s="52" t="s">
        <v>34</v>
      </c>
      <c r="K35" s="18" t="s">
        <v>256</v>
      </c>
      <c r="L35" s="18" t="s">
        <v>275</v>
      </c>
      <c r="M35" s="55" t="str">
        <f t="shared" si="0"/>
        <v>Suzuki|DT115/140 carburados</v>
      </c>
      <c r="N35" s="55" t="str">
        <f>IF($E35=Consulta!$C$22,COUNTIF($E$5:$E35,Consulta!$C$22),"")</f>
        <v/>
      </c>
    </row>
    <row r="36" spans="1:14" x14ac:dyDescent="0.25">
      <c r="A36" s="52" t="s">
        <v>77</v>
      </c>
      <c r="B36" s="18" t="s">
        <v>287</v>
      </c>
      <c r="C36" s="53" t="s">
        <v>249</v>
      </c>
      <c r="D36" s="52" t="s">
        <v>266</v>
      </c>
      <c r="E36" s="54" t="s">
        <v>285</v>
      </c>
      <c r="F36" s="53" t="s">
        <v>251</v>
      </c>
      <c r="G36" s="53"/>
      <c r="H36" s="53"/>
      <c r="I36" s="18" t="s">
        <v>255</v>
      </c>
      <c r="J36" s="52" t="s">
        <v>34</v>
      </c>
      <c r="K36" s="18" t="s">
        <v>256</v>
      </c>
      <c r="L36" s="18" t="s">
        <v>275</v>
      </c>
      <c r="M36" s="55" t="str">
        <f t="shared" si="0"/>
        <v>Suzuki|DT115S/140 EFI, DT150/175/200/225 V6</v>
      </c>
      <c r="N36" s="55" t="str">
        <f>IF($E36=Consulta!$C$22,COUNTIF($E$5:$E36,Consulta!$C$22),"")</f>
        <v/>
      </c>
    </row>
    <row r="37" spans="1:14" x14ac:dyDescent="0.25">
      <c r="A37" s="52" t="s">
        <v>78</v>
      </c>
      <c r="B37" s="18" t="s">
        <v>288</v>
      </c>
      <c r="C37" s="53" t="s">
        <v>217</v>
      </c>
      <c r="D37" s="52" t="s">
        <v>218</v>
      </c>
      <c r="E37" s="54" t="s">
        <v>289</v>
      </c>
      <c r="F37" s="53" t="s">
        <v>220</v>
      </c>
      <c r="G37" s="53"/>
      <c r="H37" s="53">
        <v>1</v>
      </c>
      <c r="I37" s="18" t="s">
        <v>75</v>
      </c>
      <c r="J37" s="52" t="s">
        <v>34</v>
      </c>
      <c r="K37" s="18" t="s">
        <v>290</v>
      </c>
      <c r="L37" s="18"/>
      <c r="M37" s="55" t="str">
        <f t="shared" ref="M37:M68" si="1">A37&amp;"|"&amp;B37</f>
        <v>Yamaha|F6C (F6CMHS-E)</v>
      </c>
      <c r="N37" s="55" t="str">
        <f>IF($E37=Consulta!$C$22,COUNTIF($E$5:$E37,Consulta!$C$22),"")</f>
        <v/>
      </c>
    </row>
    <row r="38" spans="1:14" x14ac:dyDescent="0.25">
      <c r="A38" s="52" t="s">
        <v>78</v>
      </c>
      <c r="B38" s="18" t="s">
        <v>291</v>
      </c>
      <c r="C38" s="53" t="s">
        <v>217</v>
      </c>
      <c r="D38" s="52" t="s">
        <v>228</v>
      </c>
      <c r="E38" s="54" t="s">
        <v>292</v>
      </c>
      <c r="F38" s="53" t="s">
        <v>225</v>
      </c>
      <c r="G38" s="53"/>
      <c r="H38" s="53">
        <v>2</v>
      </c>
      <c r="I38" s="18" t="s">
        <v>75</v>
      </c>
      <c r="J38" s="52" t="s">
        <v>34</v>
      </c>
      <c r="K38" s="18" t="s">
        <v>290</v>
      </c>
      <c r="L38" s="18" t="s">
        <v>293</v>
      </c>
      <c r="M38" s="55" t="str">
        <f t="shared" si="1"/>
        <v>Yamaha|F20C (F20CMHS/HL-E)</v>
      </c>
      <c r="N38" s="55" t="str">
        <f>IF($E38=Consulta!$C$22,COUNTIF($E$5:$E38,Consulta!$C$22),"")</f>
        <v/>
      </c>
    </row>
    <row r="39" spans="1:14" x14ac:dyDescent="0.25">
      <c r="A39" s="52" t="s">
        <v>78</v>
      </c>
      <c r="B39" s="18" t="s">
        <v>294</v>
      </c>
      <c r="C39" s="53" t="s">
        <v>217</v>
      </c>
      <c r="D39" s="52" t="s">
        <v>295</v>
      </c>
      <c r="E39" s="54" t="s">
        <v>292</v>
      </c>
      <c r="F39" s="53" t="s">
        <v>225</v>
      </c>
      <c r="G39" s="53"/>
      <c r="H39" s="53">
        <v>4</v>
      </c>
      <c r="I39" s="18" t="s">
        <v>75</v>
      </c>
      <c r="J39" s="52" t="s">
        <v>34</v>
      </c>
      <c r="K39" s="18" t="s">
        <v>290</v>
      </c>
      <c r="L39" s="18"/>
      <c r="M39" s="55" t="str">
        <f t="shared" si="1"/>
        <v>Yamaha|FT60J (FT60JEHDL/X, FT60JETL/X)</v>
      </c>
      <c r="N39" s="55" t="str">
        <f>IF($E39=Consulta!$C$22,COUNTIF($E$5:$E39,Consulta!$C$22),"")</f>
        <v/>
      </c>
    </row>
    <row r="40" spans="1:14" x14ac:dyDescent="0.25">
      <c r="A40" s="52" t="s">
        <v>78</v>
      </c>
      <c r="B40" s="18" t="s">
        <v>296</v>
      </c>
      <c r="C40" s="53" t="s">
        <v>217</v>
      </c>
      <c r="D40" s="52" t="s">
        <v>297</v>
      </c>
      <c r="E40" s="54" t="s">
        <v>298</v>
      </c>
      <c r="F40" s="53" t="s">
        <v>299</v>
      </c>
      <c r="G40" s="53"/>
      <c r="H40" s="53">
        <v>4</v>
      </c>
      <c r="I40" s="18" t="s">
        <v>75</v>
      </c>
      <c r="J40" s="52" t="s">
        <v>34</v>
      </c>
      <c r="K40" s="18" t="s">
        <v>290</v>
      </c>
      <c r="L40" s="18"/>
      <c r="M40" s="55" t="str">
        <f t="shared" si="1"/>
        <v>Yamaha|F100G (F100GETL/X, F100GEHTL/X)</v>
      </c>
      <c r="N40" s="55" t="str">
        <f>IF($E40=Consulta!$C$22,COUNTIF($E$5:$E40,Consulta!$C$22),"")</f>
        <v/>
      </c>
    </row>
    <row r="41" spans="1:14" x14ac:dyDescent="0.25">
      <c r="A41" s="52" t="s">
        <v>78</v>
      </c>
      <c r="B41" s="18" t="s">
        <v>300</v>
      </c>
      <c r="C41" s="53" t="s">
        <v>217</v>
      </c>
      <c r="D41" s="52" t="s">
        <v>297</v>
      </c>
      <c r="E41" s="54" t="s">
        <v>206</v>
      </c>
      <c r="F41" s="53" t="s">
        <v>299</v>
      </c>
      <c r="G41" s="53"/>
      <c r="H41" s="53">
        <v>4</v>
      </c>
      <c r="I41" s="18" t="s">
        <v>75</v>
      </c>
      <c r="J41" s="52" t="s">
        <v>34</v>
      </c>
      <c r="K41" s="18" t="s">
        <v>290</v>
      </c>
      <c r="L41" s="18"/>
      <c r="M41" s="55" t="str">
        <f t="shared" si="1"/>
        <v>Yamaha|F(L)115B (F115BETL/X, FL115BETX)</v>
      </c>
      <c r="N41" s="55">
        <f>IF($E41=Consulta!$C$22,COUNTIF($E$5:$E41,Consulta!$C$22),"")</f>
        <v>4</v>
      </c>
    </row>
    <row r="42" spans="1:14" x14ac:dyDescent="0.25">
      <c r="A42" s="52" t="s">
        <v>78</v>
      </c>
      <c r="B42" s="18" t="s">
        <v>301</v>
      </c>
      <c r="C42" s="53" t="s">
        <v>217</v>
      </c>
      <c r="D42" s="52" t="s">
        <v>302</v>
      </c>
      <c r="E42" s="54" t="s">
        <v>303</v>
      </c>
      <c r="F42" s="53" t="s">
        <v>304</v>
      </c>
      <c r="G42" s="53"/>
      <c r="H42" s="53">
        <v>4</v>
      </c>
      <c r="I42" s="18" t="s">
        <v>75</v>
      </c>
      <c r="J42" s="52" t="s">
        <v>34</v>
      </c>
      <c r="K42" s="18" t="s">
        <v>290</v>
      </c>
      <c r="L42" s="18"/>
      <c r="M42" s="55" t="str">
        <f t="shared" si="1"/>
        <v>Yamaha|F(L)150F (F150FETX-E, FL150FETX-E)</v>
      </c>
      <c r="N42" s="55" t="str">
        <f>IF($E42=Consulta!$C$22,COUNTIF($E$5:$E42,Consulta!$C$22),"")</f>
        <v/>
      </c>
    </row>
    <row r="43" spans="1:14" x14ac:dyDescent="0.25">
      <c r="A43" s="52" t="s">
        <v>78</v>
      </c>
      <c r="B43" s="18" t="s">
        <v>305</v>
      </c>
      <c r="C43" s="53" t="s">
        <v>217</v>
      </c>
      <c r="D43" s="52" t="s">
        <v>306</v>
      </c>
      <c r="E43" s="54" t="s">
        <v>307</v>
      </c>
      <c r="F43" s="53" t="s">
        <v>304</v>
      </c>
      <c r="G43" s="53"/>
      <c r="H43" s="53">
        <v>6</v>
      </c>
      <c r="I43" s="18" t="s">
        <v>75</v>
      </c>
      <c r="J43" s="52" t="s">
        <v>34</v>
      </c>
      <c r="K43" s="18" t="s">
        <v>290</v>
      </c>
      <c r="L43" s="18"/>
      <c r="M43" s="55" t="str">
        <f t="shared" si="1"/>
        <v>Yamaha|F(L)200B (F200BETX-E, FL200BETX-E)</v>
      </c>
      <c r="N43" s="55" t="str">
        <f>IF($E43=Consulta!$C$22,COUNTIF($E$5:$E43,Consulta!$C$22),"")</f>
        <v/>
      </c>
    </row>
    <row r="44" spans="1:14" x14ac:dyDescent="0.25">
      <c r="A44" s="52" t="s">
        <v>78</v>
      </c>
      <c r="B44" s="18" t="s">
        <v>308</v>
      </c>
      <c r="C44" s="53" t="s">
        <v>217</v>
      </c>
      <c r="D44" s="52" t="s">
        <v>309</v>
      </c>
      <c r="E44" s="54" t="s">
        <v>307</v>
      </c>
      <c r="F44" s="53" t="s">
        <v>304</v>
      </c>
      <c r="G44" s="53"/>
      <c r="H44" s="53">
        <v>6</v>
      </c>
      <c r="I44" s="18" t="s">
        <v>75</v>
      </c>
      <c r="J44" s="52" t="s">
        <v>34</v>
      </c>
      <c r="K44" s="18" t="s">
        <v>290</v>
      </c>
      <c r="L44" s="18"/>
      <c r="M44" s="55" t="str">
        <f t="shared" si="1"/>
        <v>Yamaha|F(L)200S (F200SETX, FL200SETX)</v>
      </c>
      <c r="N44" s="55" t="str">
        <f>IF($E44=Consulta!$C$22,COUNTIF($E$5:$E44,Consulta!$C$22),"")</f>
        <v/>
      </c>
    </row>
    <row r="45" spans="1:14" x14ac:dyDescent="0.25">
      <c r="A45" s="52" t="s">
        <v>78</v>
      </c>
      <c r="B45" s="18" t="s">
        <v>310</v>
      </c>
      <c r="C45" s="53" t="s">
        <v>217</v>
      </c>
      <c r="D45" s="52" t="s">
        <v>306</v>
      </c>
      <c r="E45" s="54" t="s">
        <v>307</v>
      </c>
      <c r="F45" s="53" t="s">
        <v>304</v>
      </c>
      <c r="G45" s="53"/>
      <c r="H45" s="53">
        <v>6</v>
      </c>
      <c r="I45" s="18" t="s">
        <v>75</v>
      </c>
      <c r="J45" s="52" t="s">
        <v>34</v>
      </c>
      <c r="K45" s="18" t="s">
        <v>290</v>
      </c>
      <c r="L45" s="18"/>
      <c r="M45" s="55" t="str">
        <f t="shared" si="1"/>
        <v>Yamaha|F250H (F250HETX/ETU, FL250HETX)</v>
      </c>
      <c r="N45" s="55" t="str">
        <f>IF($E45=Consulta!$C$22,COUNTIF($E$5:$E45,Consulta!$C$22),"")</f>
        <v/>
      </c>
    </row>
    <row r="46" spans="1:14" x14ac:dyDescent="0.25">
      <c r="A46" s="52" t="s">
        <v>78</v>
      </c>
      <c r="B46" s="18" t="s">
        <v>311</v>
      </c>
      <c r="C46" s="53" t="s">
        <v>217</v>
      </c>
      <c r="D46" s="52" t="s">
        <v>309</v>
      </c>
      <c r="E46" s="54" t="s">
        <v>307</v>
      </c>
      <c r="F46" s="53" t="s">
        <v>304</v>
      </c>
      <c r="G46" s="53"/>
      <c r="H46" s="53">
        <v>6</v>
      </c>
      <c r="I46" s="18" t="s">
        <v>75</v>
      </c>
      <c r="J46" s="52" t="s">
        <v>34</v>
      </c>
      <c r="K46" s="18" t="s">
        <v>290</v>
      </c>
      <c r="L46" s="18"/>
      <c r="M46" s="55" t="str">
        <f t="shared" si="1"/>
        <v>Yamaha|F(L)250S (F250SETX, FL250SETX/ETU)</v>
      </c>
      <c r="N46" s="55" t="str">
        <f>IF($E46=Consulta!$C$22,COUNTIF($E$5:$E46,Consulta!$C$22),"")</f>
        <v/>
      </c>
    </row>
    <row r="47" spans="1:14" x14ac:dyDescent="0.25">
      <c r="A47" s="52" t="s">
        <v>78</v>
      </c>
      <c r="B47" s="18" t="s">
        <v>312</v>
      </c>
      <c r="C47" s="53" t="s">
        <v>217</v>
      </c>
      <c r="D47" s="52" t="s">
        <v>309</v>
      </c>
      <c r="E47" s="54" t="s">
        <v>307</v>
      </c>
      <c r="F47" s="53" t="s">
        <v>304</v>
      </c>
      <c r="G47" s="53"/>
      <c r="H47" s="53">
        <v>6</v>
      </c>
      <c r="I47" s="18" t="s">
        <v>75</v>
      </c>
      <c r="J47" s="52" t="s">
        <v>34</v>
      </c>
      <c r="K47" s="18" t="s">
        <v>290</v>
      </c>
      <c r="L47" s="18"/>
      <c r="M47" s="55" t="str">
        <f t="shared" si="1"/>
        <v>Yamaha|F(L)300D (F300DETX/ETU, FL300DETX/ETU)</v>
      </c>
      <c r="N47" s="55" t="str">
        <f>IF($E47=Consulta!$C$22,COUNTIF($E$5:$E47,Consulta!$C$22),"")</f>
        <v/>
      </c>
    </row>
    <row r="48" spans="1:14" x14ac:dyDescent="0.25">
      <c r="A48" s="52" t="s">
        <v>78</v>
      </c>
      <c r="B48" s="18" t="s">
        <v>313</v>
      </c>
      <c r="C48" s="53" t="s">
        <v>217</v>
      </c>
      <c r="D48" s="52" t="s">
        <v>309</v>
      </c>
      <c r="E48" s="54" t="s">
        <v>307</v>
      </c>
      <c r="F48" s="53" t="s">
        <v>304</v>
      </c>
      <c r="G48" s="53"/>
      <c r="H48" s="53">
        <v>6</v>
      </c>
      <c r="I48" s="18" t="s">
        <v>75</v>
      </c>
      <c r="J48" s="52" t="s">
        <v>34</v>
      </c>
      <c r="K48" s="18" t="s">
        <v>290</v>
      </c>
      <c r="L48" s="18"/>
      <c r="M48" s="55" t="str">
        <f t="shared" si="1"/>
        <v>Yamaha|F(L)300G (F300GETX/ETU, FL300GETX)</v>
      </c>
      <c r="N48" s="55" t="str">
        <f>IF($E48=Consulta!$C$22,COUNTIF($E$5:$E48,Consulta!$C$22),"")</f>
        <v/>
      </c>
    </row>
    <row r="49" spans="1:14" x14ac:dyDescent="0.25">
      <c r="A49" s="52" t="s">
        <v>78</v>
      </c>
      <c r="B49" s="18" t="s">
        <v>314</v>
      </c>
      <c r="C49" s="53" t="s">
        <v>217</v>
      </c>
      <c r="D49" s="52" t="s">
        <v>315</v>
      </c>
      <c r="E49" s="54" t="s">
        <v>316</v>
      </c>
      <c r="F49" s="53" t="s">
        <v>225</v>
      </c>
      <c r="G49" s="53"/>
      <c r="H49" s="53">
        <v>6</v>
      </c>
      <c r="I49" s="18" t="s">
        <v>75</v>
      </c>
      <c r="J49" s="52" t="s">
        <v>34</v>
      </c>
      <c r="K49" s="18" t="s">
        <v>290</v>
      </c>
      <c r="L49" s="18" t="s">
        <v>317</v>
      </c>
      <c r="M49" s="55" t="str">
        <f t="shared" si="1"/>
        <v>Yamaha|F350B V6 (F350BST)</v>
      </c>
      <c r="N49" s="55" t="str">
        <f>IF($E49=Consulta!$C$22,COUNTIF($E$5:$E49,Consulta!$C$22),"")</f>
        <v/>
      </c>
    </row>
    <row r="50" spans="1:14" x14ac:dyDescent="0.25">
      <c r="A50" s="52" t="s">
        <v>78</v>
      </c>
      <c r="B50" s="18" t="s">
        <v>318</v>
      </c>
      <c r="C50" s="53" t="s">
        <v>249</v>
      </c>
      <c r="D50" s="52" t="s">
        <v>319</v>
      </c>
      <c r="E50" s="54" t="s">
        <v>320</v>
      </c>
      <c r="F50" s="53" t="s">
        <v>251</v>
      </c>
      <c r="G50" s="53"/>
      <c r="H50" s="53">
        <v>2</v>
      </c>
      <c r="I50" s="18" t="s">
        <v>75</v>
      </c>
      <c r="J50" s="52" t="s">
        <v>34</v>
      </c>
      <c r="K50" s="18" t="s">
        <v>290</v>
      </c>
      <c r="L50" s="18" t="s">
        <v>321</v>
      </c>
      <c r="M50" s="55" t="str">
        <f t="shared" si="1"/>
        <v>Yamaha|E15D (E15DMHS/HL)</v>
      </c>
      <c r="N50" s="55" t="str">
        <f>IF($E50=Consulta!$C$22,COUNTIF($E$5:$E50,Consulta!$C$22),"")</f>
        <v/>
      </c>
    </row>
    <row r="51" spans="1:14" x14ac:dyDescent="0.25">
      <c r="A51" s="52" t="s">
        <v>78</v>
      </c>
      <c r="B51" s="18" t="s">
        <v>322</v>
      </c>
      <c r="C51" s="53" t="s">
        <v>249</v>
      </c>
      <c r="D51" s="52" t="s">
        <v>323</v>
      </c>
      <c r="E51" s="54" t="s">
        <v>324</v>
      </c>
      <c r="F51" s="53" t="s">
        <v>220</v>
      </c>
      <c r="G51" s="53"/>
      <c r="H51" s="53">
        <v>2</v>
      </c>
      <c r="I51" s="18" t="s">
        <v>75</v>
      </c>
      <c r="J51" s="52" t="s">
        <v>34</v>
      </c>
      <c r="K51" s="18" t="s">
        <v>290</v>
      </c>
      <c r="L51" s="18" t="s">
        <v>325</v>
      </c>
      <c r="M51" s="55" t="str">
        <f t="shared" si="1"/>
        <v>Yamaha|E40J (E40JMHS/HL)</v>
      </c>
      <c r="N51" s="55" t="str">
        <f>IF($E51=Consulta!$C$22,COUNTIF($E$5:$E51,Consulta!$C$22),"")</f>
        <v/>
      </c>
    </row>
    <row r="52" spans="1:14" x14ac:dyDescent="0.25">
      <c r="A52" s="52" t="s">
        <v>78</v>
      </c>
      <c r="B52" s="18" t="s">
        <v>326</v>
      </c>
      <c r="C52" s="53" t="s">
        <v>249</v>
      </c>
      <c r="D52" s="52" t="s">
        <v>228</v>
      </c>
      <c r="E52" s="54" t="s">
        <v>324</v>
      </c>
      <c r="F52" s="53" t="s">
        <v>264</v>
      </c>
      <c r="G52" s="53"/>
      <c r="H52" s="53">
        <v>2</v>
      </c>
      <c r="I52" s="18" t="s">
        <v>75</v>
      </c>
      <c r="J52" s="52" t="s">
        <v>34</v>
      </c>
      <c r="K52" s="18" t="s">
        <v>327</v>
      </c>
      <c r="L52" s="18" t="s">
        <v>328</v>
      </c>
      <c r="M52" s="55" t="str">
        <f t="shared" si="1"/>
        <v>Yamaha|E40X (E40XMHS/HL-E)</v>
      </c>
      <c r="N52" s="55" t="str">
        <f>IF($E52=Consulta!$C$22,COUNTIF($E$5:$E52,Consulta!$C$22),"")</f>
        <v/>
      </c>
    </row>
    <row r="53" spans="1:14" x14ac:dyDescent="0.25">
      <c r="A53" s="52" t="s">
        <v>78</v>
      </c>
      <c r="B53" s="18" t="s">
        <v>329</v>
      </c>
      <c r="C53" s="53" t="s">
        <v>249</v>
      </c>
      <c r="D53" s="52" t="s">
        <v>330</v>
      </c>
      <c r="E53" s="54" t="s">
        <v>320</v>
      </c>
      <c r="F53" s="53" t="s">
        <v>251</v>
      </c>
      <c r="G53" s="53"/>
      <c r="H53" s="53">
        <v>3</v>
      </c>
      <c r="I53" s="18" t="s">
        <v>75</v>
      </c>
      <c r="J53" s="52" t="s">
        <v>34</v>
      </c>
      <c r="K53" s="18" t="s">
        <v>290</v>
      </c>
      <c r="L53" s="18" t="s">
        <v>331</v>
      </c>
      <c r="M53" s="55" t="str">
        <f t="shared" si="1"/>
        <v>Yamaha|E75B (E75BMHDL/X)</v>
      </c>
      <c r="N53" s="55" t="str">
        <f>IF($E53=Consulta!$C$22,COUNTIF($E$5:$E53,Consulta!$C$22),"")</f>
        <v/>
      </c>
    </row>
    <row r="54" spans="1:14" x14ac:dyDescent="0.25">
      <c r="A54" s="52" t="s">
        <v>78</v>
      </c>
      <c r="B54" s="18" t="s">
        <v>332</v>
      </c>
      <c r="C54" s="53" t="s">
        <v>217</v>
      </c>
      <c r="D54" s="52" t="s">
        <v>228</v>
      </c>
      <c r="E54" s="54" t="s">
        <v>333</v>
      </c>
      <c r="F54" s="53" t="s">
        <v>334</v>
      </c>
      <c r="G54" s="53"/>
      <c r="H54" s="53"/>
      <c r="I54" s="18" t="s">
        <v>255</v>
      </c>
      <c r="J54" s="52" t="s">
        <v>335</v>
      </c>
      <c r="K54" s="18" t="s">
        <v>336</v>
      </c>
      <c r="L54" s="18"/>
      <c r="M54" s="55" t="str">
        <f t="shared" si="1"/>
        <v>Yamaha|F15 (histórico)</v>
      </c>
      <c r="N54" s="55" t="str">
        <f>IF($E54=Consulta!$C$22,COUNTIF($E$5:$E54,Consulta!$C$22),"")</f>
        <v/>
      </c>
    </row>
    <row r="55" spans="1:14" x14ac:dyDescent="0.25">
      <c r="A55" s="52" t="s">
        <v>78</v>
      </c>
      <c r="B55" s="18" t="s">
        <v>337</v>
      </c>
      <c r="C55" s="53" t="s">
        <v>217</v>
      </c>
      <c r="D55" s="52" t="s">
        <v>228</v>
      </c>
      <c r="E55" s="54" t="s">
        <v>292</v>
      </c>
      <c r="F55" s="53" t="s">
        <v>225</v>
      </c>
      <c r="G55" s="53"/>
      <c r="H55" s="53"/>
      <c r="I55" s="18" t="s">
        <v>255</v>
      </c>
      <c r="J55" s="52" t="s">
        <v>335</v>
      </c>
      <c r="K55" s="18" t="s">
        <v>336</v>
      </c>
      <c r="L55" s="18"/>
      <c r="M55" s="55" t="str">
        <f t="shared" si="1"/>
        <v>Yamaha|F15C / F20 carburados</v>
      </c>
      <c r="N55" s="55" t="str">
        <f>IF($E55=Consulta!$C$22,COUNTIF($E$5:$E55,Consulta!$C$22),"")</f>
        <v/>
      </c>
    </row>
    <row r="56" spans="1:14" x14ac:dyDescent="0.25">
      <c r="A56" s="52" t="s">
        <v>78</v>
      </c>
      <c r="B56" s="18" t="s">
        <v>338</v>
      </c>
      <c r="C56" s="53" t="s">
        <v>217</v>
      </c>
      <c r="D56" s="52" t="s">
        <v>266</v>
      </c>
      <c r="E56" s="54" t="s">
        <v>292</v>
      </c>
      <c r="F56" s="53" t="s">
        <v>299</v>
      </c>
      <c r="G56" s="53"/>
      <c r="H56" s="53"/>
      <c r="I56" s="18" t="s">
        <v>255</v>
      </c>
      <c r="J56" s="52" t="s">
        <v>335</v>
      </c>
      <c r="K56" s="18" t="s">
        <v>336</v>
      </c>
      <c r="L56" s="18" t="s">
        <v>339</v>
      </c>
      <c r="M56" s="55" t="str">
        <f t="shared" si="1"/>
        <v>Yamaha|F40 / F50 / F60 (histórico)</v>
      </c>
      <c r="N56" s="55" t="str">
        <f>IF($E56=Consulta!$C$22,COUNTIF($E$5:$E56,Consulta!$C$22),"")</f>
        <v/>
      </c>
    </row>
    <row r="57" spans="1:14" x14ac:dyDescent="0.25">
      <c r="A57" s="52" t="s">
        <v>78</v>
      </c>
      <c r="B57" s="18" t="s">
        <v>340</v>
      </c>
      <c r="C57" s="53" t="s">
        <v>217</v>
      </c>
      <c r="D57" s="52" t="s">
        <v>230</v>
      </c>
      <c r="E57" s="54" t="s">
        <v>303</v>
      </c>
      <c r="F57" s="53" t="s">
        <v>304</v>
      </c>
      <c r="G57" s="53"/>
      <c r="H57" s="53"/>
      <c r="I57" s="18" t="s">
        <v>255</v>
      </c>
      <c r="J57" s="52" t="s">
        <v>335</v>
      </c>
      <c r="K57" s="18" t="s">
        <v>336</v>
      </c>
      <c r="L57" s="18"/>
      <c r="M57" s="55" t="str">
        <f t="shared" si="1"/>
        <v>Yamaha|F75 / F80 / F90 / F100 (histórico)</v>
      </c>
      <c r="N57" s="55" t="str">
        <f>IF($E57=Consulta!$C$22,COUNTIF($E$5:$E57,Consulta!$C$22),"")</f>
        <v/>
      </c>
    </row>
    <row r="58" spans="1:14" x14ac:dyDescent="0.25">
      <c r="A58" s="52" t="s">
        <v>78</v>
      </c>
      <c r="B58" s="18" t="s">
        <v>341</v>
      </c>
      <c r="C58" s="53" t="s">
        <v>217</v>
      </c>
      <c r="D58" s="52" t="s">
        <v>230</v>
      </c>
      <c r="E58" s="54" t="s">
        <v>307</v>
      </c>
      <c r="F58" s="53" t="s">
        <v>342</v>
      </c>
      <c r="G58" s="53"/>
      <c r="H58" s="53"/>
      <c r="I58" s="18" t="s">
        <v>255</v>
      </c>
      <c r="J58" s="52" t="s">
        <v>335</v>
      </c>
      <c r="K58" s="18" t="s">
        <v>336</v>
      </c>
      <c r="L58" s="18"/>
      <c r="M58" s="55" t="str">
        <f t="shared" si="1"/>
        <v>Yamaha|F115 (2000–2013)</v>
      </c>
      <c r="N58" s="55" t="str">
        <f>IF($E58=Consulta!$C$22,COUNTIF($E$5:$E58,Consulta!$C$22),"")</f>
        <v/>
      </c>
    </row>
    <row r="59" spans="1:14" x14ac:dyDescent="0.25">
      <c r="A59" s="52" t="s">
        <v>78</v>
      </c>
      <c r="B59" s="18" t="s">
        <v>343</v>
      </c>
      <c r="C59" s="53" t="s">
        <v>217</v>
      </c>
      <c r="D59" s="52" t="s">
        <v>243</v>
      </c>
      <c r="E59" s="54" t="s">
        <v>303</v>
      </c>
      <c r="F59" s="53" t="s">
        <v>304</v>
      </c>
      <c r="G59" s="53"/>
      <c r="H59" s="53"/>
      <c r="I59" s="18" t="s">
        <v>255</v>
      </c>
      <c r="J59" s="52" t="s">
        <v>335</v>
      </c>
      <c r="K59" s="18" t="s">
        <v>336</v>
      </c>
      <c r="L59" s="18" t="s">
        <v>344</v>
      </c>
      <c r="M59" s="55" t="str">
        <f t="shared" si="1"/>
        <v>Yamaha|F200 / F225 (3.3 L V6, histórico)</v>
      </c>
      <c r="N59" s="55" t="str">
        <f>IF($E59=Consulta!$C$22,COUNTIF($E$5:$E59,Consulta!$C$22),"")</f>
        <v/>
      </c>
    </row>
    <row r="60" spans="1:14" x14ac:dyDescent="0.25">
      <c r="A60" s="52" t="s">
        <v>78</v>
      </c>
      <c r="B60" s="18" t="s">
        <v>345</v>
      </c>
      <c r="C60" s="53" t="s">
        <v>249</v>
      </c>
      <c r="D60" s="52" t="s">
        <v>218</v>
      </c>
      <c r="E60" s="54" t="s">
        <v>324</v>
      </c>
      <c r="F60" s="53" t="s">
        <v>278</v>
      </c>
      <c r="G60" s="53"/>
      <c r="H60" s="53"/>
      <c r="I60" s="18" t="s">
        <v>255</v>
      </c>
      <c r="J60" s="52" t="s">
        <v>335</v>
      </c>
      <c r="K60" s="18" t="s">
        <v>336</v>
      </c>
      <c r="L60" s="18"/>
      <c r="M60" s="55" t="str">
        <f t="shared" si="1"/>
        <v>Yamaha|2T 4–5 HP (histórico)</v>
      </c>
      <c r="N60" s="55" t="str">
        <f>IF($E60=Consulta!$C$22,COUNTIF($E$5:$E60,Consulta!$C$22),"")</f>
        <v/>
      </c>
    </row>
    <row r="61" spans="1:14" x14ac:dyDescent="0.25">
      <c r="A61" s="52" t="s">
        <v>78</v>
      </c>
      <c r="B61" s="18" t="s">
        <v>346</v>
      </c>
      <c r="C61" s="53" t="s">
        <v>249</v>
      </c>
      <c r="D61" s="52" t="s">
        <v>266</v>
      </c>
      <c r="E61" s="54" t="s">
        <v>347</v>
      </c>
      <c r="F61" s="53" t="s">
        <v>299</v>
      </c>
      <c r="G61" s="53"/>
      <c r="H61" s="53"/>
      <c r="I61" s="18" t="s">
        <v>255</v>
      </c>
      <c r="J61" s="52" t="s">
        <v>335</v>
      </c>
      <c r="K61" s="18" t="s">
        <v>336</v>
      </c>
      <c r="L61" s="18"/>
      <c r="M61" s="55" t="str">
        <f t="shared" si="1"/>
        <v>Yamaha|2T 6–8 HP (histórico)</v>
      </c>
      <c r="N61" s="55" t="str">
        <f>IF($E61=Consulta!$C$22,COUNTIF($E$5:$E61,Consulta!$C$22),"")</f>
        <v/>
      </c>
    </row>
    <row r="62" spans="1:14" x14ac:dyDescent="0.25">
      <c r="A62" s="52" t="s">
        <v>78</v>
      </c>
      <c r="B62" s="18" t="s">
        <v>348</v>
      </c>
      <c r="C62" s="53" t="s">
        <v>249</v>
      </c>
      <c r="D62" s="52" t="s">
        <v>266</v>
      </c>
      <c r="E62" s="54" t="s">
        <v>347</v>
      </c>
      <c r="F62" s="53" t="s">
        <v>251</v>
      </c>
      <c r="G62" s="53"/>
      <c r="H62" s="53"/>
      <c r="I62" s="18" t="s">
        <v>255</v>
      </c>
      <c r="J62" s="52" t="s">
        <v>335</v>
      </c>
      <c r="K62" s="18" t="s">
        <v>336</v>
      </c>
      <c r="L62" s="18"/>
      <c r="M62" s="55" t="str">
        <f t="shared" si="1"/>
        <v>Yamaha|2T 9.9–40 HP (histórico)</v>
      </c>
      <c r="N62" s="55" t="str">
        <f>IF($E62=Consulta!$C$22,COUNTIF($E$5:$E62,Consulta!$C$22),"")</f>
        <v/>
      </c>
    </row>
    <row r="63" spans="1:14" x14ac:dyDescent="0.25">
      <c r="A63" s="52" t="s">
        <v>78</v>
      </c>
      <c r="B63" s="18" t="s">
        <v>349</v>
      </c>
      <c r="C63" s="53" t="s">
        <v>249</v>
      </c>
      <c r="D63" s="52" t="s">
        <v>266</v>
      </c>
      <c r="E63" s="54" t="s">
        <v>320</v>
      </c>
      <c r="F63" s="53" t="s">
        <v>251</v>
      </c>
      <c r="G63" s="53"/>
      <c r="H63" s="53"/>
      <c r="I63" s="18" t="s">
        <v>255</v>
      </c>
      <c r="J63" s="52" t="s">
        <v>335</v>
      </c>
      <c r="K63" s="18" t="s">
        <v>336</v>
      </c>
      <c r="L63" s="18"/>
      <c r="M63" s="55" t="str">
        <f t="shared" si="1"/>
        <v>Yamaha|2T 50–75 HP (histórico)</v>
      </c>
      <c r="N63" s="55" t="str">
        <f>IF($E63=Consulta!$C$22,COUNTIF($E$5:$E63,Consulta!$C$22),"")</f>
        <v/>
      </c>
    </row>
    <row r="64" spans="1:14" x14ac:dyDescent="0.25">
      <c r="A64" s="52" t="s">
        <v>78</v>
      </c>
      <c r="B64" s="18" t="s">
        <v>350</v>
      </c>
      <c r="C64" s="53" t="s">
        <v>249</v>
      </c>
      <c r="D64" s="52" t="s">
        <v>230</v>
      </c>
      <c r="E64" s="54" t="s">
        <v>285</v>
      </c>
      <c r="F64" s="53" t="s">
        <v>251</v>
      </c>
      <c r="G64" s="53"/>
      <c r="H64" s="53"/>
      <c r="I64" s="18" t="s">
        <v>255</v>
      </c>
      <c r="J64" s="52" t="s">
        <v>335</v>
      </c>
      <c r="K64" s="18" t="s">
        <v>336</v>
      </c>
      <c r="L64" s="18"/>
      <c r="M64" s="55" t="str">
        <f t="shared" si="1"/>
        <v>Yamaha|2T 115 HP (histórico)</v>
      </c>
      <c r="N64" s="55" t="str">
        <f>IF($E64=Consulta!$C$22,COUNTIF($E$5:$E64,Consulta!$C$22),"")</f>
        <v/>
      </c>
    </row>
    <row r="65" spans="1:14" x14ac:dyDescent="0.25">
      <c r="A65" s="52" t="s">
        <v>79</v>
      </c>
      <c r="B65" s="18" t="s">
        <v>351</v>
      </c>
      <c r="C65" s="53" t="s">
        <v>217</v>
      </c>
      <c r="D65" s="52" t="s">
        <v>218</v>
      </c>
      <c r="E65" s="54" t="s">
        <v>231</v>
      </c>
      <c r="F65" s="53" t="s">
        <v>352</v>
      </c>
      <c r="G65" s="53"/>
      <c r="H65" s="53"/>
      <c r="I65" s="18" t="s">
        <v>353</v>
      </c>
      <c r="J65" s="52" t="s">
        <v>34</v>
      </c>
      <c r="K65" s="18" t="s">
        <v>354</v>
      </c>
      <c r="L65" s="18"/>
      <c r="M65" s="55" t="str">
        <f t="shared" si="1"/>
        <v>Mercury|FourStroke 2.5 / 3.5</v>
      </c>
      <c r="N65" s="55" t="str">
        <f>IF($E65=Consulta!$C$22,COUNTIF($E$5:$E65,Consulta!$C$22),"")</f>
        <v/>
      </c>
    </row>
    <row r="66" spans="1:14" x14ac:dyDescent="0.25">
      <c r="A66" s="52" t="s">
        <v>79</v>
      </c>
      <c r="B66" s="18" t="s">
        <v>355</v>
      </c>
      <c r="C66" s="53" t="s">
        <v>217</v>
      </c>
      <c r="D66" s="52" t="s">
        <v>218</v>
      </c>
      <c r="E66" s="54" t="s">
        <v>231</v>
      </c>
      <c r="F66" s="53" t="s">
        <v>356</v>
      </c>
      <c r="G66" s="53"/>
      <c r="H66" s="53"/>
      <c r="I66" s="18" t="s">
        <v>353</v>
      </c>
      <c r="J66" s="52" t="s">
        <v>34</v>
      </c>
      <c r="K66" s="18" t="s">
        <v>354</v>
      </c>
      <c r="L66" s="18"/>
      <c r="M66" s="55" t="str">
        <f t="shared" si="1"/>
        <v>Mercury|FourStroke 4 / 5 / 6</v>
      </c>
      <c r="N66" s="55" t="str">
        <f>IF($E66=Consulta!$C$22,COUNTIF($E$5:$E66,Consulta!$C$22),"")</f>
        <v/>
      </c>
    </row>
    <row r="67" spans="1:14" x14ac:dyDescent="0.25">
      <c r="A67" s="52" t="s">
        <v>79</v>
      </c>
      <c r="B67" s="18" t="s">
        <v>357</v>
      </c>
      <c r="C67" s="53" t="s">
        <v>217</v>
      </c>
      <c r="D67" s="52" t="s">
        <v>228</v>
      </c>
      <c r="E67" s="54" t="s">
        <v>231</v>
      </c>
      <c r="F67" s="53" t="s">
        <v>352</v>
      </c>
      <c r="G67" s="53"/>
      <c r="H67" s="53"/>
      <c r="I67" s="18" t="s">
        <v>353</v>
      </c>
      <c r="J67" s="52" t="s">
        <v>34</v>
      </c>
      <c r="K67" s="18" t="s">
        <v>354</v>
      </c>
      <c r="L67" s="18"/>
      <c r="M67" s="55" t="str">
        <f t="shared" si="1"/>
        <v>Mercury|FourStroke 8 / 9.9 / 15 / 20 (serie JPN nueva)</v>
      </c>
      <c r="N67" s="55" t="str">
        <f>IF($E67=Consulta!$C$22,COUNTIF($E$5:$E67,Consulta!$C$22),"")</f>
        <v/>
      </c>
    </row>
    <row r="68" spans="1:14" ht="25.5" x14ac:dyDescent="0.25">
      <c r="A68" s="52" t="s">
        <v>79</v>
      </c>
      <c r="B68" s="18" t="s">
        <v>358</v>
      </c>
      <c r="C68" s="53" t="s">
        <v>217</v>
      </c>
      <c r="D68" s="52" t="s">
        <v>266</v>
      </c>
      <c r="E68" s="54" t="s">
        <v>333</v>
      </c>
      <c r="F68" s="53" t="s">
        <v>356</v>
      </c>
      <c r="G68" s="53"/>
      <c r="H68" s="53"/>
      <c r="I68" s="18" t="s">
        <v>353</v>
      </c>
      <c r="J68" s="52" t="s">
        <v>34</v>
      </c>
      <c r="K68" s="18" t="s">
        <v>354</v>
      </c>
      <c r="L68" s="18"/>
      <c r="M68" s="55" t="str">
        <f t="shared" si="1"/>
        <v>Mercury|FourStroke 8 / 9.9 / 15 / 25 / 30 carburados (USA/BEL ant.)</v>
      </c>
      <c r="N68" s="55" t="str">
        <f>IF($E68=Consulta!$C$22,COUNTIF($E$5:$E68,Consulta!$C$22),"")</f>
        <v/>
      </c>
    </row>
    <row r="69" spans="1:14" x14ac:dyDescent="0.25">
      <c r="A69" s="52" t="s">
        <v>79</v>
      </c>
      <c r="B69" s="18" t="s">
        <v>359</v>
      </c>
      <c r="C69" s="53" t="s">
        <v>217</v>
      </c>
      <c r="D69" s="52" t="s">
        <v>266</v>
      </c>
      <c r="E69" s="54" t="s">
        <v>333</v>
      </c>
      <c r="F69" s="53" t="s">
        <v>356</v>
      </c>
      <c r="G69" s="53"/>
      <c r="H69" s="53"/>
      <c r="I69" s="18" t="s">
        <v>353</v>
      </c>
      <c r="J69" s="52" t="s">
        <v>34</v>
      </c>
      <c r="K69" s="18" t="s">
        <v>354</v>
      </c>
      <c r="L69" s="18"/>
      <c r="M69" s="55" t="str">
        <f t="shared" ref="M69:M100" si="2">A69&amp;"|"&amp;B69</f>
        <v>Mercury|FourStroke 40 / 50 / 60 carburados</v>
      </c>
      <c r="N69" s="55" t="str">
        <f>IF($E69=Consulta!$C$22,COUNTIF($E$5:$E69,Consulta!$C$22),"")</f>
        <v/>
      </c>
    </row>
    <row r="70" spans="1:14" x14ac:dyDescent="0.25">
      <c r="A70" s="52" t="s">
        <v>79</v>
      </c>
      <c r="B70" s="18" t="s">
        <v>360</v>
      </c>
      <c r="C70" s="53" t="s">
        <v>217</v>
      </c>
      <c r="D70" s="52" t="s">
        <v>266</v>
      </c>
      <c r="E70" s="54" t="s">
        <v>361</v>
      </c>
      <c r="F70" s="53" t="s">
        <v>264</v>
      </c>
      <c r="G70" s="53"/>
      <c r="H70" s="53"/>
      <c r="I70" s="18" t="s">
        <v>353</v>
      </c>
      <c r="J70" s="52" t="s">
        <v>36</v>
      </c>
      <c r="K70" s="18" t="s">
        <v>354</v>
      </c>
      <c r="L70" s="18" t="s">
        <v>362</v>
      </c>
      <c r="M70" s="55" t="str">
        <f t="shared" si="2"/>
        <v>Mercury|FourStroke 40 / 50 / 60 EFI</v>
      </c>
      <c r="N70" s="55" t="str">
        <f>IF($E70=Consulta!$C$22,COUNTIF($E$5:$E70,Consulta!$C$22),"")</f>
        <v/>
      </c>
    </row>
    <row r="71" spans="1:14" x14ac:dyDescent="0.25">
      <c r="A71" s="52" t="s">
        <v>79</v>
      </c>
      <c r="B71" s="18" t="s">
        <v>363</v>
      </c>
      <c r="C71" s="53" t="s">
        <v>217</v>
      </c>
      <c r="D71" s="52" t="s">
        <v>364</v>
      </c>
      <c r="E71" s="54" t="s">
        <v>303</v>
      </c>
      <c r="F71" s="53" t="s">
        <v>365</v>
      </c>
      <c r="G71" s="53"/>
      <c r="H71" s="53"/>
      <c r="I71" s="18" t="s">
        <v>353</v>
      </c>
      <c r="J71" s="52" t="s">
        <v>34</v>
      </c>
      <c r="K71" s="18" t="s">
        <v>354</v>
      </c>
      <c r="L71" s="18"/>
      <c r="M71" s="55" t="str">
        <f t="shared" si="2"/>
        <v>Mercury|FourStroke 75 / 90 de 1.596 cc (antiguo)</v>
      </c>
      <c r="N71" s="55" t="str">
        <f>IF($E71=Consulta!$C$22,COUNTIF($E$5:$E71,Consulta!$C$22),"")</f>
        <v/>
      </c>
    </row>
    <row r="72" spans="1:14" x14ac:dyDescent="0.25">
      <c r="A72" s="52" t="s">
        <v>79</v>
      </c>
      <c r="B72" s="18" t="s">
        <v>366</v>
      </c>
      <c r="C72" s="53" t="s">
        <v>217</v>
      </c>
      <c r="D72" s="52" t="s">
        <v>230</v>
      </c>
      <c r="E72" s="54" t="s">
        <v>367</v>
      </c>
      <c r="F72" s="53" t="s">
        <v>368</v>
      </c>
      <c r="G72" s="53"/>
      <c r="H72" s="53"/>
      <c r="I72" s="18" t="s">
        <v>353</v>
      </c>
      <c r="J72" s="52" t="s">
        <v>34</v>
      </c>
      <c r="K72" s="18" t="s">
        <v>354</v>
      </c>
      <c r="L72" s="18"/>
      <c r="M72" s="55" t="str">
        <f t="shared" si="2"/>
        <v>Mercury|FourStroke 75–115 de 1.7 L</v>
      </c>
      <c r="N72" s="55" t="str">
        <f>IF($E72=Consulta!$C$22,COUNTIF($E$5:$E72,Consulta!$C$22),"")</f>
        <v/>
      </c>
    </row>
    <row r="73" spans="1:14" x14ac:dyDescent="0.25">
      <c r="A73" s="52" t="s">
        <v>79</v>
      </c>
      <c r="B73" s="18" t="s">
        <v>369</v>
      </c>
      <c r="C73" s="53" t="s">
        <v>217</v>
      </c>
      <c r="D73" s="52" t="s">
        <v>230</v>
      </c>
      <c r="E73" s="54" t="s">
        <v>370</v>
      </c>
      <c r="F73" s="53" t="s">
        <v>368</v>
      </c>
      <c r="G73" s="53"/>
      <c r="H73" s="53"/>
      <c r="I73" s="18" t="s">
        <v>353</v>
      </c>
      <c r="J73" s="52" t="s">
        <v>34</v>
      </c>
      <c r="K73" s="18" t="s">
        <v>354</v>
      </c>
      <c r="L73" s="18"/>
      <c r="M73" s="55" t="str">
        <f t="shared" si="2"/>
        <v>Mercury|FourStroke 75–115 de 2.1 L y Pro XS 115</v>
      </c>
      <c r="N73" s="55" t="str">
        <f>IF($E73=Consulta!$C$22,COUNTIF($E$5:$E73,Consulta!$C$22),"")</f>
        <v/>
      </c>
    </row>
    <row r="74" spans="1:14" x14ac:dyDescent="0.25">
      <c r="A74" s="52" t="s">
        <v>79</v>
      </c>
      <c r="B74" s="18" t="s">
        <v>371</v>
      </c>
      <c r="C74" s="53" t="s">
        <v>217</v>
      </c>
      <c r="D74" s="52" t="s">
        <v>230</v>
      </c>
      <c r="E74" s="54" t="s">
        <v>307</v>
      </c>
      <c r="F74" s="53" t="s">
        <v>372</v>
      </c>
      <c r="G74" s="53"/>
      <c r="H74" s="53"/>
      <c r="I74" s="18" t="s">
        <v>353</v>
      </c>
      <c r="J74" s="52" t="s">
        <v>34</v>
      </c>
      <c r="K74" s="18" t="s">
        <v>354</v>
      </c>
      <c r="L74" s="18"/>
      <c r="M74" s="55" t="str">
        <f t="shared" si="2"/>
        <v>Mercury|FourStroke 115 EFI de 1.741 cc (antiguo)</v>
      </c>
      <c r="N74" s="55" t="str">
        <f>IF($E74=Consulta!$C$22,COUNTIF($E$5:$E74,Consulta!$C$22),"")</f>
        <v/>
      </c>
    </row>
    <row r="75" spans="1:14" x14ac:dyDescent="0.25">
      <c r="A75" s="52" t="s">
        <v>79</v>
      </c>
      <c r="B75" s="18" t="s">
        <v>373</v>
      </c>
      <c r="C75" s="53" t="s">
        <v>217</v>
      </c>
      <c r="D75" s="52" t="s">
        <v>230</v>
      </c>
      <c r="E75" s="54" t="s">
        <v>370</v>
      </c>
      <c r="F75" s="53" t="s">
        <v>368</v>
      </c>
      <c r="G75" s="53"/>
      <c r="H75" s="53"/>
      <c r="I75" s="18" t="s">
        <v>353</v>
      </c>
      <c r="J75" s="52" t="s">
        <v>34</v>
      </c>
      <c r="K75" s="18" t="s">
        <v>354</v>
      </c>
      <c r="L75" s="18"/>
      <c r="M75" s="55" t="str">
        <f t="shared" si="2"/>
        <v>Mercury|FourStroke 150 EFI</v>
      </c>
      <c r="N75" s="55" t="str">
        <f>IF($E75=Consulta!$C$22,COUNTIF($E$5:$E75,Consulta!$C$22),"")</f>
        <v/>
      </c>
    </row>
    <row r="76" spans="1:14" x14ac:dyDescent="0.25">
      <c r="A76" s="52" t="s">
        <v>79</v>
      </c>
      <c r="B76" s="18" t="s">
        <v>374</v>
      </c>
      <c r="C76" s="53" t="s">
        <v>217</v>
      </c>
      <c r="D76" s="52" t="s">
        <v>243</v>
      </c>
      <c r="E76" s="54" t="s">
        <v>303</v>
      </c>
      <c r="F76" s="53" t="s">
        <v>365</v>
      </c>
      <c r="G76" s="53"/>
      <c r="H76" s="53"/>
      <c r="I76" s="18" t="s">
        <v>353</v>
      </c>
      <c r="J76" s="52" t="s">
        <v>34</v>
      </c>
      <c r="K76" s="18" t="s">
        <v>354</v>
      </c>
      <c r="L76" s="18"/>
      <c r="M76" s="55" t="str">
        <f t="shared" si="2"/>
        <v>Mercury|FourStroke 225 EFI de 3.0 L</v>
      </c>
      <c r="N76" s="55" t="str">
        <f>IF($E76=Consulta!$C$22,COUNTIF($E$5:$E76,Consulta!$C$22),"")</f>
        <v/>
      </c>
    </row>
    <row r="77" spans="1:14" x14ac:dyDescent="0.25">
      <c r="A77" s="52" t="s">
        <v>79</v>
      </c>
      <c r="B77" s="18" t="s">
        <v>375</v>
      </c>
      <c r="C77" s="53" t="s">
        <v>217</v>
      </c>
      <c r="D77" s="52" t="s">
        <v>376</v>
      </c>
      <c r="E77" s="54" t="s">
        <v>377</v>
      </c>
      <c r="F77" s="53" t="s">
        <v>356</v>
      </c>
      <c r="G77" s="53"/>
      <c r="H77" s="53"/>
      <c r="I77" s="18" t="s">
        <v>353</v>
      </c>
      <c r="J77" s="52" t="s">
        <v>34</v>
      </c>
      <c r="K77" s="18" t="s">
        <v>354</v>
      </c>
      <c r="L77" s="18"/>
      <c r="M77" s="55" t="str">
        <f t="shared" si="2"/>
        <v>Mercury|175–300 V6/V8 y 450R (serie 2B529482+)</v>
      </c>
      <c r="N77" s="55" t="str">
        <f>IF($E77=Consulta!$C$22,COUNTIF($E$5:$E77,Consulta!$C$22),"")</f>
        <v/>
      </c>
    </row>
    <row r="78" spans="1:14" x14ac:dyDescent="0.25">
      <c r="A78" s="52" t="s">
        <v>79</v>
      </c>
      <c r="B78" s="18" t="s">
        <v>378</v>
      </c>
      <c r="C78" s="53" t="s">
        <v>217</v>
      </c>
      <c r="D78" s="52" t="s">
        <v>266</v>
      </c>
      <c r="E78" s="54" t="s">
        <v>379</v>
      </c>
      <c r="F78" s="53" t="s">
        <v>380</v>
      </c>
      <c r="G78" s="53"/>
      <c r="H78" s="53"/>
      <c r="I78" s="18" t="s">
        <v>353</v>
      </c>
      <c r="J78" s="52" t="s">
        <v>34</v>
      </c>
      <c r="K78" s="18" t="s">
        <v>354</v>
      </c>
      <c r="L78" s="18" t="s">
        <v>317</v>
      </c>
      <c r="M78" s="55" t="str">
        <f t="shared" si="2"/>
        <v>Mercury|Verado 135–350</v>
      </c>
      <c r="N78" s="55" t="str">
        <f>IF($E78=Consulta!$C$22,COUNTIF($E$5:$E78,Consulta!$C$22),"")</f>
        <v/>
      </c>
    </row>
    <row r="79" spans="1:14" x14ac:dyDescent="0.25">
      <c r="A79" s="52" t="s">
        <v>79</v>
      </c>
      <c r="B79" s="18" t="s">
        <v>381</v>
      </c>
      <c r="C79" s="53" t="s">
        <v>249</v>
      </c>
      <c r="D79" s="52" t="s">
        <v>218</v>
      </c>
      <c r="E79" s="54" t="s">
        <v>382</v>
      </c>
      <c r="F79" s="53" t="s">
        <v>383</v>
      </c>
      <c r="G79" s="53"/>
      <c r="H79" s="53"/>
      <c r="I79" s="18" t="s">
        <v>353</v>
      </c>
      <c r="J79" s="52" t="s">
        <v>34</v>
      </c>
      <c r="K79" s="18" t="s">
        <v>354</v>
      </c>
      <c r="L79" s="18" t="s">
        <v>275</v>
      </c>
      <c r="M79" s="55" t="str">
        <f t="shared" si="2"/>
        <v>Mercury|TwoStroke 2.5 / 3.3 / 3.5</v>
      </c>
      <c r="N79" s="55" t="str">
        <f>IF($E79=Consulta!$C$22,COUNTIF($E$5:$E79,Consulta!$C$22),"")</f>
        <v/>
      </c>
    </row>
    <row r="80" spans="1:14" x14ac:dyDescent="0.25">
      <c r="A80" s="52" t="s">
        <v>79</v>
      </c>
      <c r="B80" s="18" t="s">
        <v>384</v>
      </c>
      <c r="C80" s="53" t="s">
        <v>249</v>
      </c>
      <c r="D80" s="52" t="s">
        <v>218</v>
      </c>
      <c r="E80" s="54" t="s">
        <v>385</v>
      </c>
      <c r="F80" s="53" t="s">
        <v>383</v>
      </c>
      <c r="G80" s="53"/>
      <c r="H80" s="53"/>
      <c r="I80" s="18" t="s">
        <v>353</v>
      </c>
      <c r="J80" s="52" t="s">
        <v>34</v>
      </c>
      <c r="K80" s="18" t="s">
        <v>354</v>
      </c>
      <c r="L80" s="18" t="s">
        <v>275</v>
      </c>
      <c r="M80" s="55" t="str">
        <f t="shared" si="2"/>
        <v>Mercury|TwoStroke 3.6 / 4 / 5</v>
      </c>
      <c r="N80" s="55" t="str">
        <f>IF($E80=Consulta!$C$22,COUNTIF($E$5:$E80,Consulta!$C$22),"")</f>
        <v/>
      </c>
    </row>
    <row r="81" spans="1:14" x14ac:dyDescent="0.25">
      <c r="A81" s="52" t="s">
        <v>79</v>
      </c>
      <c r="B81" s="18" t="s">
        <v>386</v>
      </c>
      <c r="C81" s="53" t="s">
        <v>249</v>
      </c>
      <c r="D81" s="52" t="s">
        <v>266</v>
      </c>
      <c r="E81" s="54" t="s">
        <v>387</v>
      </c>
      <c r="F81" s="53" t="s">
        <v>383</v>
      </c>
      <c r="G81" s="53"/>
      <c r="H81" s="53"/>
      <c r="I81" s="18" t="s">
        <v>353</v>
      </c>
      <c r="J81" s="52" t="s">
        <v>34</v>
      </c>
      <c r="K81" s="18" t="s">
        <v>354</v>
      </c>
      <c r="L81" s="18"/>
      <c r="M81" s="55" t="str">
        <f t="shared" si="2"/>
        <v>Mercury|TwoStroke 6 / 8 / 9.9 (hasta 0G112449)</v>
      </c>
      <c r="N81" s="55" t="str">
        <f>IF($E81=Consulta!$C$22,COUNTIF($E$5:$E81,Consulta!$C$22),"")</f>
        <v/>
      </c>
    </row>
    <row r="82" spans="1:14" ht="25.5" x14ac:dyDescent="0.25">
      <c r="A82" s="52" t="s">
        <v>79</v>
      </c>
      <c r="B82" s="18" t="s">
        <v>388</v>
      </c>
      <c r="C82" s="53" t="s">
        <v>249</v>
      </c>
      <c r="D82" s="52" t="s">
        <v>266</v>
      </c>
      <c r="E82" s="54" t="s">
        <v>389</v>
      </c>
      <c r="F82" s="53" t="s">
        <v>390</v>
      </c>
      <c r="G82" s="53"/>
      <c r="H82" s="53"/>
      <c r="I82" s="18" t="s">
        <v>353</v>
      </c>
      <c r="J82" s="52" t="s">
        <v>34</v>
      </c>
      <c r="K82" s="18" t="s">
        <v>354</v>
      </c>
      <c r="L82" s="18"/>
      <c r="M82" s="55" t="str">
        <f t="shared" si="2"/>
        <v>Mercury|TwoStroke 9.9 / 10 / 15 (series nuevas) y Sea Pro 15</v>
      </c>
      <c r="N82" s="55" t="str">
        <f>IF($E82=Consulta!$C$22,COUNTIF($E$5:$E82,Consulta!$C$22),"")</f>
        <v/>
      </c>
    </row>
    <row r="83" spans="1:14" x14ac:dyDescent="0.25">
      <c r="A83" s="52" t="s">
        <v>79</v>
      </c>
      <c r="B83" s="18" t="s">
        <v>391</v>
      </c>
      <c r="C83" s="53" t="s">
        <v>249</v>
      </c>
      <c r="D83" s="52" t="s">
        <v>266</v>
      </c>
      <c r="E83" s="54" t="s">
        <v>387</v>
      </c>
      <c r="F83" s="53" t="s">
        <v>383</v>
      </c>
      <c r="G83" s="53"/>
      <c r="H83" s="53"/>
      <c r="I83" s="18" t="s">
        <v>353</v>
      </c>
      <c r="J83" s="52" t="s">
        <v>34</v>
      </c>
      <c r="K83" s="18" t="s">
        <v>354</v>
      </c>
      <c r="L83" s="18"/>
      <c r="M83" s="55" t="str">
        <f t="shared" si="2"/>
        <v>Mercury|TwoStroke 15 Super / Sea Pro XD / 18 / 20 / 25</v>
      </c>
      <c r="N83" s="55" t="str">
        <f>IF($E83=Consulta!$C$22,COUNTIF($E$5:$E83,Consulta!$C$22),"")</f>
        <v/>
      </c>
    </row>
    <row r="84" spans="1:14" ht="25.5" x14ac:dyDescent="0.25">
      <c r="A84" s="52" t="s">
        <v>79</v>
      </c>
      <c r="B84" s="18" t="s">
        <v>392</v>
      </c>
      <c r="C84" s="53" t="s">
        <v>249</v>
      </c>
      <c r="D84" s="52" t="s">
        <v>263</v>
      </c>
      <c r="E84" s="54" t="s">
        <v>387</v>
      </c>
      <c r="F84" s="53" t="s">
        <v>383</v>
      </c>
      <c r="G84" s="53"/>
      <c r="H84" s="53"/>
      <c r="I84" s="18" t="s">
        <v>353</v>
      </c>
      <c r="J84" s="52" t="s">
        <v>34</v>
      </c>
      <c r="K84" s="18" t="s">
        <v>354</v>
      </c>
      <c r="L84" s="18"/>
      <c r="M84" s="55" t="str">
        <f t="shared" si="2"/>
        <v>Mercury|TwoStroke 30 / 40 / 50 / 55 / 60 (3 cil., desde 0D000750)</v>
      </c>
      <c r="N84" s="55" t="str">
        <f>IF($E84=Consulta!$C$22,COUNTIF($E$5:$E84,Consulta!$C$22),"")</f>
        <v/>
      </c>
    </row>
    <row r="85" spans="1:14" x14ac:dyDescent="0.25">
      <c r="A85" s="52" t="s">
        <v>79</v>
      </c>
      <c r="B85" s="18" t="s">
        <v>393</v>
      </c>
      <c r="C85" s="53" t="s">
        <v>249</v>
      </c>
      <c r="D85" s="52" t="s">
        <v>230</v>
      </c>
      <c r="E85" s="54" t="s">
        <v>387</v>
      </c>
      <c r="F85" s="53" t="s">
        <v>383</v>
      </c>
      <c r="G85" s="53"/>
      <c r="H85" s="53"/>
      <c r="I85" s="18" t="s">
        <v>353</v>
      </c>
      <c r="J85" s="52" t="s">
        <v>34</v>
      </c>
      <c r="K85" s="18" t="s">
        <v>354</v>
      </c>
      <c r="L85" s="18"/>
      <c r="M85" s="55" t="str">
        <f t="shared" si="2"/>
        <v>Mercury|TwoStroke 100 / 115 / 125 (4 cil.)</v>
      </c>
      <c r="N85" s="55" t="str">
        <f>IF($E85=Consulta!$C$22,COUNTIF($E$5:$E85,Consulta!$C$22),"")</f>
        <v/>
      </c>
    </row>
    <row r="86" spans="1:14" x14ac:dyDescent="0.25">
      <c r="A86" s="52" t="s">
        <v>79</v>
      </c>
      <c r="B86" s="18" t="s">
        <v>394</v>
      </c>
      <c r="C86" s="53" t="s">
        <v>249</v>
      </c>
      <c r="D86" s="52" t="s">
        <v>243</v>
      </c>
      <c r="E86" s="54" t="s">
        <v>395</v>
      </c>
      <c r="F86" s="53" t="s">
        <v>383</v>
      </c>
      <c r="G86" s="53"/>
      <c r="H86" s="53"/>
      <c r="I86" s="18" t="s">
        <v>353</v>
      </c>
      <c r="J86" s="52" t="s">
        <v>34</v>
      </c>
      <c r="K86" s="18" t="s">
        <v>354</v>
      </c>
      <c r="L86" s="18"/>
      <c r="M86" s="55" t="str">
        <f t="shared" si="2"/>
        <v>Mercury|TwoStroke V6 150–300 (desde 0G960500)</v>
      </c>
      <c r="N86" s="55" t="str">
        <f>IF($E86=Consulta!$C$22,COUNTIF($E$5:$E86,Consulta!$C$22),"")</f>
        <v/>
      </c>
    </row>
    <row r="87" spans="1:14" x14ac:dyDescent="0.25">
      <c r="A87" s="52" t="s">
        <v>79</v>
      </c>
      <c r="B87" s="18" t="s">
        <v>396</v>
      </c>
      <c r="C87" s="53" t="s">
        <v>249</v>
      </c>
      <c r="D87" s="52" t="s">
        <v>263</v>
      </c>
      <c r="E87" s="54" t="s">
        <v>397</v>
      </c>
      <c r="F87" s="53" t="s">
        <v>368</v>
      </c>
      <c r="G87" s="53"/>
      <c r="H87" s="53"/>
      <c r="I87" s="18" t="s">
        <v>353</v>
      </c>
      <c r="J87" s="52" t="s">
        <v>34</v>
      </c>
      <c r="K87" s="18" t="s">
        <v>354</v>
      </c>
      <c r="L87" s="18"/>
      <c r="M87" s="55" t="str">
        <f t="shared" si="2"/>
        <v>Mercury|OptiMax 75 / 90 / 115 (1.5 L, 3 cil.)</v>
      </c>
      <c r="N87" s="55" t="str">
        <f>IF($E87=Consulta!$C$22,COUNTIF($E$5:$E87,Consulta!$C$22),"")</f>
        <v/>
      </c>
    </row>
    <row r="88" spans="1:14" x14ac:dyDescent="0.25">
      <c r="A88" s="52" t="s">
        <v>79</v>
      </c>
      <c r="B88" s="18" t="s">
        <v>398</v>
      </c>
      <c r="C88" s="53" t="s">
        <v>249</v>
      </c>
      <c r="D88" s="52" t="s">
        <v>243</v>
      </c>
      <c r="E88" s="54" t="s">
        <v>399</v>
      </c>
      <c r="F88" s="53" t="s">
        <v>368</v>
      </c>
      <c r="G88" s="53"/>
      <c r="H88" s="53"/>
      <c r="I88" s="18" t="s">
        <v>353</v>
      </c>
      <c r="J88" s="52" t="s">
        <v>34</v>
      </c>
      <c r="K88" s="18" t="s">
        <v>354</v>
      </c>
      <c r="L88" s="18"/>
      <c r="M88" s="55" t="str">
        <f t="shared" si="2"/>
        <v>Mercury|OptiMax V6 DFI 135–225 y Pro XS 200</v>
      </c>
      <c r="N88" s="55" t="str">
        <f>IF($E88=Consulta!$C$22,COUNTIF($E$5:$E88,Consulta!$C$22),"")</f>
        <v/>
      </c>
    </row>
    <row r="89" spans="1:14" x14ac:dyDescent="0.25">
      <c r="A89" s="52" t="s">
        <v>79</v>
      </c>
      <c r="B89" s="18" t="s">
        <v>400</v>
      </c>
      <c r="C89" s="53" t="s">
        <v>249</v>
      </c>
      <c r="D89" s="52" t="s">
        <v>243</v>
      </c>
      <c r="E89" s="54" t="s">
        <v>401</v>
      </c>
      <c r="F89" s="53" t="s">
        <v>402</v>
      </c>
      <c r="G89" s="53"/>
      <c r="H89" s="53"/>
      <c r="I89" s="18" t="s">
        <v>353</v>
      </c>
      <c r="J89" s="52" t="s">
        <v>34</v>
      </c>
      <c r="K89" s="18" t="s">
        <v>354</v>
      </c>
      <c r="L89" s="18"/>
      <c r="M89" s="55" t="str">
        <f t="shared" si="2"/>
        <v>Mercury|OptiMax Pro XS 150–250</v>
      </c>
      <c r="N89" s="55" t="str">
        <f>IF($E89=Consulta!$C$22,COUNTIF($E$5:$E89,Consulta!$C$22),"")</f>
        <v/>
      </c>
    </row>
    <row r="90" spans="1:14" x14ac:dyDescent="0.25">
      <c r="A90" s="52" t="s">
        <v>79</v>
      </c>
      <c r="B90" s="18" t="s">
        <v>403</v>
      </c>
      <c r="C90" s="53" t="s">
        <v>249</v>
      </c>
      <c r="D90" s="52" t="s">
        <v>243</v>
      </c>
      <c r="E90" s="54" t="s">
        <v>404</v>
      </c>
      <c r="F90" s="53" t="s">
        <v>405</v>
      </c>
      <c r="G90" s="53"/>
      <c r="H90" s="53"/>
      <c r="I90" s="18" t="s">
        <v>353</v>
      </c>
      <c r="J90" s="52" t="s">
        <v>34</v>
      </c>
      <c r="K90" s="18" t="s">
        <v>354</v>
      </c>
      <c r="L90" s="18" t="s">
        <v>406</v>
      </c>
      <c r="M90" s="55" t="str">
        <f t="shared" si="2"/>
        <v>Mercury|V6 antiguos carburados 135–300 HP</v>
      </c>
      <c r="N90" s="55" t="str">
        <f>IF($E90=Consulta!$C$22,COUNTIF($E$5:$E90,Consulta!$C$22),"")</f>
        <v/>
      </c>
    </row>
    <row r="91" spans="1:14" x14ac:dyDescent="0.25">
      <c r="A91" s="52" t="s">
        <v>80</v>
      </c>
      <c r="B91" s="18" t="s">
        <v>407</v>
      </c>
      <c r="C91" s="53" t="s">
        <v>217</v>
      </c>
      <c r="D91" s="52" t="s">
        <v>218</v>
      </c>
      <c r="E91" s="54" t="s">
        <v>408</v>
      </c>
      <c r="F91" s="53" t="s">
        <v>220</v>
      </c>
      <c r="G91" s="53"/>
      <c r="H91" s="53">
        <v>1</v>
      </c>
      <c r="I91" s="18" t="s">
        <v>75</v>
      </c>
      <c r="J91" s="52" t="s">
        <v>34</v>
      </c>
      <c r="K91" s="18" t="s">
        <v>409</v>
      </c>
      <c r="L91" s="18"/>
      <c r="M91" s="55" t="str">
        <f t="shared" si="2"/>
        <v>Parsun|F-2.6 BMS</v>
      </c>
      <c r="N91" s="55" t="str">
        <f>IF($E91=Consulta!$C$22,COUNTIF($E$5:$E91,Consulta!$C$22),"")</f>
        <v/>
      </c>
    </row>
    <row r="92" spans="1:14" x14ac:dyDescent="0.25">
      <c r="A92" s="52" t="s">
        <v>80</v>
      </c>
      <c r="B92" s="18" t="s">
        <v>410</v>
      </c>
      <c r="C92" s="53" t="s">
        <v>217</v>
      </c>
      <c r="D92" s="52" t="s">
        <v>411</v>
      </c>
      <c r="E92" s="54" t="s">
        <v>408</v>
      </c>
      <c r="F92" s="53" t="s">
        <v>220</v>
      </c>
      <c r="G92" s="53"/>
      <c r="H92" s="53">
        <v>1</v>
      </c>
      <c r="I92" s="18" t="s">
        <v>75</v>
      </c>
      <c r="J92" s="52" t="s">
        <v>34</v>
      </c>
      <c r="K92" s="18" t="s">
        <v>409</v>
      </c>
      <c r="L92" s="18" t="s">
        <v>412</v>
      </c>
      <c r="M92" s="55" t="str">
        <f t="shared" si="2"/>
        <v>Parsun|F-5 BMS / BML</v>
      </c>
      <c r="N92" s="55" t="str">
        <f>IF($E92=Consulta!$C$22,COUNTIF($E$5:$E92,Consulta!$C$22),"")</f>
        <v/>
      </c>
    </row>
    <row r="93" spans="1:14" ht="25.5" x14ac:dyDescent="0.25">
      <c r="A93" s="52" t="s">
        <v>80</v>
      </c>
      <c r="B93" s="18" t="s">
        <v>413</v>
      </c>
      <c r="C93" s="53" t="s">
        <v>217</v>
      </c>
      <c r="D93" s="52" t="s">
        <v>414</v>
      </c>
      <c r="E93" s="54" t="s">
        <v>415</v>
      </c>
      <c r="F93" s="53" t="s">
        <v>225</v>
      </c>
      <c r="G93" s="53"/>
      <c r="H93" s="53">
        <v>2</v>
      </c>
      <c r="I93" s="18" t="s">
        <v>75</v>
      </c>
      <c r="J93" s="52" t="s">
        <v>34</v>
      </c>
      <c r="K93" s="18" t="s">
        <v>409</v>
      </c>
      <c r="L93" s="18" t="s">
        <v>416</v>
      </c>
      <c r="M93" s="55" t="str">
        <f t="shared" si="2"/>
        <v>Parsun|F-20 EBMS / EBML</v>
      </c>
      <c r="N93" s="55" t="str">
        <f>IF($E93=Consulta!$C$22,COUNTIF($E$5:$E93,Consulta!$C$22),"")</f>
        <v/>
      </c>
    </row>
    <row r="94" spans="1:14" x14ac:dyDescent="0.25">
      <c r="A94" s="52" t="s">
        <v>80</v>
      </c>
      <c r="B94" s="18" t="s">
        <v>417</v>
      </c>
      <c r="C94" s="53" t="s">
        <v>217</v>
      </c>
      <c r="D94" s="52" t="s">
        <v>295</v>
      </c>
      <c r="E94" s="54" t="s">
        <v>415</v>
      </c>
      <c r="F94" s="53" t="s">
        <v>225</v>
      </c>
      <c r="G94" s="53">
        <v>18</v>
      </c>
      <c r="H94" s="53">
        <v>4</v>
      </c>
      <c r="I94" s="18" t="s">
        <v>75</v>
      </c>
      <c r="J94" s="52" t="s">
        <v>34</v>
      </c>
      <c r="K94" s="18" t="s">
        <v>409</v>
      </c>
      <c r="L94" s="18"/>
      <c r="M94" s="55" t="str">
        <f t="shared" si="2"/>
        <v>Parsun|F-50 BEL-D-EFI / BEL-T-EFI / FEL-T-EFI</v>
      </c>
      <c r="N94" s="55" t="str">
        <f>IF($E94=Consulta!$C$22,COUNTIF($E$5:$E94,Consulta!$C$22),"")</f>
        <v/>
      </c>
    </row>
    <row r="95" spans="1:14" x14ac:dyDescent="0.25">
      <c r="A95" s="52" t="s">
        <v>80</v>
      </c>
      <c r="B95" s="18" t="s">
        <v>418</v>
      </c>
      <c r="C95" s="53" t="s">
        <v>217</v>
      </c>
      <c r="D95" s="52" t="s">
        <v>295</v>
      </c>
      <c r="E95" s="54" t="s">
        <v>415</v>
      </c>
      <c r="F95" s="53" t="s">
        <v>225</v>
      </c>
      <c r="G95" s="53">
        <v>18</v>
      </c>
      <c r="H95" s="53">
        <v>4</v>
      </c>
      <c r="I95" s="18" t="s">
        <v>75</v>
      </c>
      <c r="J95" s="52" t="s">
        <v>34</v>
      </c>
      <c r="K95" s="18" t="s">
        <v>409</v>
      </c>
      <c r="L95" s="18"/>
      <c r="M95" s="55" t="str">
        <f t="shared" si="2"/>
        <v>Parsun|F-60 BEL-D-EFI / BEL-T-EFI / FEL-T-EFI</v>
      </c>
      <c r="N95" s="55" t="str">
        <f>IF($E95=Consulta!$C$22,COUNTIF($E$5:$E95,Consulta!$C$22),"")</f>
        <v/>
      </c>
    </row>
    <row r="96" spans="1:14" ht="25.5" x14ac:dyDescent="0.25">
      <c r="A96" s="52" t="s">
        <v>80</v>
      </c>
      <c r="B96" s="18" t="s">
        <v>419</v>
      </c>
      <c r="C96" s="53" t="s">
        <v>217</v>
      </c>
      <c r="D96" s="52" t="s">
        <v>297</v>
      </c>
      <c r="E96" s="54" t="s">
        <v>206</v>
      </c>
      <c r="F96" s="53" t="s">
        <v>299</v>
      </c>
      <c r="G96" s="53"/>
      <c r="H96" s="53">
        <v>4</v>
      </c>
      <c r="I96" s="18" t="s">
        <v>75</v>
      </c>
      <c r="J96" s="52" t="s">
        <v>36</v>
      </c>
      <c r="K96" s="18" t="s">
        <v>420</v>
      </c>
      <c r="L96" s="18" t="s">
        <v>421</v>
      </c>
      <c r="M96" s="55" t="str">
        <f t="shared" si="2"/>
        <v>Parsun|F-115 FEL-T-EFI / FEX-T-EFI</v>
      </c>
      <c r="N96" s="55">
        <f>IF($E96=Consulta!$C$22,COUNTIF($E$5:$E96,Consulta!$C$22),"")</f>
        <v>5</v>
      </c>
    </row>
    <row r="97" spans="1:14" ht="25.5" x14ac:dyDescent="0.25">
      <c r="A97" s="52" t="s">
        <v>80</v>
      </c>
      <c r="B97" s="18" t="s">
        <v>422</v>
      </c>
      <c r="C97" s="53" t="s">
        <v>217</v>
      </c>
      <c r="D97" s="52" t="s">
        <v>423</v>
      </c>
      <c r="E97" s="54" t="s">
        <v>254</v>
      </c>
      <c r="F97" s="53" t="s">
        <v>240</v>
      </c>
      <c r="G97" s="53"/>
      <c r="H97" s="53">
        <v>1</v>
      </c>
      <c r="I97" s="18" t="s">
        <v>75</v>
      </c>
      <c r="J97" s="52" t="s">
        <v>38</v>
      </c>
      <c r="K97" s="18" t="s">
        <v>424</v>
      </c>
      <c r="L97" s="18" t="s">
        <v>425</v>
      </c>
      <c r="M97" s="55" t="str">
        <f t="shared" si="2"/>
        <v>Parsun|LT7 'peque peque' (motor 170F)</v>
      </c>
      <c r="N97" s="55" t="str">
        <f>IF($E97=Consulta!$C$22,COUNTIF($E$5:$E97,Consulta!$C$22),"")</f>
        <v/>
      </c>
    </row>
    <row r="98" spans="1:14" ht="25.5" x14ac:dyDescent="0.25">
      <c r="A98" s="52" t="s">
        <v>80</v>
      </c>
      <c r="B98" s="18" t="s">
        <v>426</v>
      </c>
      <c r="C98" s="53" t="s">
        <v>249</v>
      </c>
      <c r="D98" s="52" t="s">
        <v>266</v>
      </c>
      <c r="E98" s="54" t="s">
        <v>427</v>
      </c>
      <c r="F98" s="53" t="s">
        <v>264</v>
      </c>
      <c r="G98" s="53"/>
      <c r="H98" s="53"/>
      <c r="I98" s="18" t="s">
        <v>75</v>
      </c>
      <c r="J98" s="52" t="s">
        <v>36</v>
      </c>
      <c r="K98" s="18" t="s">
        <v>428</v>
      </c>
      <c r="L98" s="18" t="s">
        <v>429</v>
      </c>
      <c r="M98" s="55" t="str">
        <f t="shared" si="2"/>
        <v>Parsun|T-2C BMS</v>
      </c>
      <c r="N98" s="55" t="str">
        <f>IF($E98=Consulta!$C$22,COUNTIF($E$5:$E98,Consulta!$C$22),"")</f>
        <v/>
      </c>
    </row>
    <row r="99" spans="1:14" ht="25.5" x14ac:dyDescent="0.25">
      <c r="A99" s="52" t="s">
        <v>80</v>
      </c>
      <c r="B99" s="18" t="s">
        <v>430</v>
      </c>
      <c r="C99" s="53" t="s">
        <v>249</v>
      </c>
      <c r="D99" s="52" t="s">
        <v>266</v>
      </c>
      <c r="E99" s="54" t="s">
        <v>385</v>
      </c>
      <c r="F99" s="53" t="s">
        <v>251</v>
      </c>
      <c r="G99" s="53"/>
      <c r="H99" s="53"/>
      <c r="I99" s="18" t="s">
        <v>75</v>
      </c>
      <c r="J99" s="52" t="s">
        <v>34</v>
      </c>
      <c r="K99" s="18" t="s">
        <v>428</v>
      </c>
      <c r="L99" s="18"/>
      <c r="M99" s="55" t="str">
        <f t="shared" si="2"/>
        <v>Parsun|T-3.6 BMS</v>
      </c>
      <c r="N99" s="55" t="str">
        <f>IF($E99=Consulta!$C$22,COUNTIF($E$5:$E99,Consulta!$C$22),"")</f>
        <v/>
      </c>
    </row>
    <row r="100" spans="1:14" ht="25.5" x14ac:dyDescent="0.25">
      <c r="A100" s="52" t="s">
        <v>80</v>
      </c>
      <c r="B100" s="18" t="s">
        <v>431</v>
      </c>
      <c r="C100" s="53" t="s">
        <v>249</v>
      </c>
      <c r="D100" s="52" t="s">
        <v>266</v>
      </c>
      <c r="E100" s="54" t="s">
        <v>385</v>
      </c>
      <c r="F100" s="53" t="s">
        <v>251</v>
      </c>
      <c r="G100" s="53"/>
      <c r="H100" s="53"/>
      <c r="I100" s="18" t="s">
        <v>75</v>
      </c>
      <c r="J100" s="52" t="s">
        <v>36</v>
      </c>
      <c r="K100" s="18" t="s">
        <v>428</v>
      </c>
      <c r="L100" s="18" t="s">
        <v>432</v>
      </c>
      <c r="M100" s="55" t="str">
        <f t="shared" si="2"/>
        <v>Parsun|T-5 BMS / BML</v>
      </c>
      <c r="N100" s="55" t="str">
        <f>IF($E100=Consulta!$C$22,COUNTIF($E$5:$E100,Consulta!$C$22),"")</f>
        <v/>
      </c>
    </row>
    <row r="101" spans="1:14" x14ac:dyDescent="0.25">
      <c r="A101" s="52" t="s">
        <v>80</v>
      </c>
      <c r="B101" s="18" t="s">
        <v>433</v>
      </c>
      <c r="C101" s="53" t="s">
        <v>249</v>
      </c>
      <c r="D101" s="52" t="s">
        <v>434</v>
      </c>
      <c r="E101" s="54" t="s">
        <v>427</v>
      </c>
      <c r="F101" s="53" t="s">
        <v>264</v>
      </c>
      <c r="G101" s="53"/>
      <c r="H101" s="53">
        <v>2</v>
      </c>
      <c r="I101" s="18" t="s">
        <v>75</v>
      </c>
      <c r="J101" s="52" t="s">
        <v>34</v>
      </c>
      <c r="K101" s="18" t="s">
        <v>435</v>
      </c>
      <c r="L101" s="18"/>
      <c r="M101" s="55" t="str">
        <f t="shared" ref="M101:M126" si="3">A101&amp;"|"&amp;B101</f>
        <v>Parsun|T-9.8 BMS / BML</v>
      </c>
      <c r="N101" s="55" t="str">
        <f>IF($E101=Consulta!$C$22,COUNTIF($E$5:$E101,Consulta!$C$22),"")</f>
        <v/>
      </c>
    </row>
    <row r="102" spans="1:14" ht="25.5" x14ac:dyDescent="0.25">
      <c r="A102" s="52" t="s">
        <v>80</v>
      </c>
      <c r="B102" s="18" t="s">
        <v>436</v>
      </c>
      <c r="C102" s="53" t="s">
        <v>249</v>
      </c>
      <c r="D102" s="52" t="s">
        <v>319</v>
      </c>
      <c r="E102" s="54" t="s">
        <v>427</v>
      </c>
      <c r="F102" s="53" t="s">
        <v>264</v>
      </c>
      <c r="G102" s="53"/>
      <c r="H102" s="53">
        <v>2</v>
      </c>
      <c r="I102" s="18" t="s">
        <v>75</v>
      </c>
      <c r="J102" s="52" t="s">
        <v>34</v>
      </c>
      <c r="K102" s="18" t="s">
        <v>428</v>
      </c>
      <c r="L102" s="18" t="s">
        <v>437</v>
      </c>
      <c r="M102" s="55" t="str">
        <f t="shared" si="3"/>
        <v>Parsun|T-15 BMS / BML</v>
      </c>
      <c r="N102" s="55" t="str">
        <f>IF($E102=Consulta!$C$22,COUNTIF($E$5:$E102,Consulta!$C$22),"")</f>
        <v/>
      </c>
    </row>
    <row r="103" spans="1:14" x14ac:dyDescent="0.25">
      <c r="A103" s="52" t="s">
        <v>80</v>
      </c>
      <c r="B103" s="18" t="s">
        <v>438</v>
      </c>
      <c r="C103" s="53" t="s">
        <v>249</v>
      </c>
      <c r="D103" s="52" t="s">
        <v>439</v>
      </c>
      <c r="E103" s="54" t="s">
        <v>427</v>
      </c>
      <c r="F103" s="53" t="s">
        <v>264</v>
      </c>
      <c r="G103" s="53"/>
      <c r="H103" s="53">
        <v>2</v>
      </c>
      <c r="I103" s="18" t="s">
        <v>75</v>
      </c>
      <c r="J103" s="52" t="s">
        <v>36</v>
      </c>
      <c r="K103" s="18" t="s">
        <v>440</v>
      </c>
      <c r="L103" s="18" t="s">
        <v>441</v>
      </c>
      <c r="M103" s="55" t="str">
        <f t="shared" si="3"/>
        <v>Parsun|T-25 BMS / BML</v>
      </c>
      <c r="N103" s="55" t="str">
        <f>IF($E103=Consulta!$C$22,COUNTIF($E$5:$E103,Consulta!$C$22),"")</f>
        <v/>
      </c>
    </row>
    <row r="104" spans="1:14" ht="25.5" x14ac:dyDescent="0.25">
      <c r="A104" s="52" t="s">
        <v>80</v>
      </c>
      <c r="B104" s="18" t="s">
        <v>442</v>
      </c>
      <c r="C104" s="53" t="s">
        <v>249</v>
      </c>
      <c r="D104" s="52" t="s">
        <v>323</v>
      </c>
      <c r="E104" s="54" t="s">
        <v>427</v>
      </c>
      <c r="F104" s="53" t="s">
        <v>264</v>
      </c>
      <c r="G104" s="53"/>
      <c r="H104" s="53">
        <v>2</v>
      </c>
      <c r="I104" s="18" t="s">
        <v>75</v>
      </c>
      <c r="J104" s="52" t="s">
        <v>34</v>
      </c>
      <c r="K104" s="18" t="s">
        <v>428</v>
      </c>
      <c r="L104" s="18" t="s">
        <v>443</v>
      </c>
      <c r="M104" s="55" t="str">
        <f t="shared" si="3"/>
        <v>Parsun|T-40 JBMS / JBML / GBML</v>
      </c>
      <c r="N104" s="55" t="str">
        <f>IF($E104=Consulta!$C$22,COUNTIF($E$5:$E104,Consulta!$C$22),"")</f>
        <v/>
      </c>
    </row>
    <row r="105" spans="1:14" x14ac:dyDescent="0.25">
      <c r="A105" s="52" t="s">
        <v>80</v>
      </c>
      <c r="B105" s="18" t="s">
        <v>444</v>
      </c>
      <c r="C105" s="53" t="s">
        <v>249</v>
      </c>
      <c r="D105" s="52" t="s">
        <v>445</v>
      </c>
      <c r="E105" s="54" t="s">
        <v>285</v>
      </c>
      <c r="F105" s="53" t="s">
        <v>251</v>
      </c>
      <c r="G105" s="53"/>
      <c r="H105" s="53">
        <v>3</v>
      </c>
      <c r="I105" s="18" t="s">
        <v>75</v>
      </c>
      <c r="J105" s="52" t="s">
        <v>36</v>
      </c>
      <c r="K105" s="18" t="s">
        <v>420</v>
      </c>
      <c r="L105" s="18" t="s">
        <v>446</v>
      </c>
      <c r="M105" s="55" t="str">
        <f t="shared" si="3"/>
        <v>Parsun|T-75 BML-D / BML-T / FEX-T</v>
      </c>
      <c r="N105" s="55" t="str">
        <f>IF($E105=Consulta!$C$22,COUNTIF($E$5:$E105,Consulta!$C$22),"")</f>
        <v/>
      </c>
    </row>
    <row r="106" spans="1:14" ht="25.5" x14ac:dyDescent="0.25">
      <c r="A106" s="52" t="s">
        <v>80</v>
      </c>
      <c r="B106" s="18" t="s">
        <v>447</v>
      </c>
      <c r="C106" s="53" t="s">
        <v>217</v>
      </c>
      <c r="D106" s="52" t="s">
        <v>218</v>
      </c>
      <c r="E106" s="54" t="s">
        <v>219</v>
      </c>
      <c r="F106" s="53" t="s">
        <v>448</v>
      </c>
      <c r="G106" s="53"/>
      <c r="H106" s="53">
        <v>1</v>
      </c>
      <c r="I106" s="18" t="s">
        <v>449</v>
      </c>
      <c r="J106" s="52" t="s">
        <v>34</v>
      </c>
      <c r="K106" s="18" t="s">
        <v>450</v>
      </c>
      <c r="L106" s="18" t="s">
        <v>451</v>
      </c>
      <c r="M106" s="55" t="str">
        <f t="shared" si="3"/>
        <v>Parsun|F5A / F6A (OHV)</v>
      </c>
      <c r="N106" s="55" t="str">
        <f>IF($E106=Consulta!$C$22,COUNTIF($E$5:$E106,Consulta!$C$22),"")</f>
        <v/>
      </c>
    </row>
    <row r="107" spans="1:14" ht="25.5" x14ac:dyDescent="0.25">
      <c r="A107" s="52" t="s">
        <v>80</v>
      </c>
      <c r="B107" s="18" t="s">
        <v>452</v>
      </c>
      <c r="C107" s="53" t="s">
        <v>217</v>
      </c>
      <c r="D107" s="52" t="s">
        <v>453</v>
      </c>
      <c r="E107" s="54" t="s">
        <v>415</v>
      </c>
      <c r="F107" s="53" t="s">
        <v>225</v>
      </c>
      <c r="G107" s="53">
        <v>18</v>
      </c>
      <c r="H107" s="53">
        <v>2</v>
      </c>
      <c r="I107" s="18" t="s">
        <v>449</v>
      </c>
      <c r="J107" s="52" t="s">
        <v>34</v>
      </c>
      <c r="K107" s="18" t="s">
        <v>450</v>
      </c>
      <c r="L107" s="18" t="s">
        <v>454</v>
      </c>
      <c r="M107" s="55" t="str">
        <f t="shared" si="3"/>
        <v>Parsun|F6 / F8 / F9.8 (209 cc)</v>
      </c>
      <c r="N107" s="55" t="str">
        <f>IF($E107=Consulta!$C$22,COUNTIF($E$5:$E107,Consulta!$C$22),"")</f>
        <v/>
      </c>
    </row>
    <row r="108" spans="1:14" ht="25.5" x14ac:dyDescent="0.25">
      <c r="A108" s="52" t="s">
        <v>80</v>
      </c>
      <c r="B108" s="18" t="s">
        <v>455</v>
      </c>
      <c r="C108" s="53" t="s">
        <v>217</v>
      </c>
      <c r="D108" s="52" t="s">
        <v>456</v>
      </c>
      <c r="E108" s="54" t="s">
        <v>333</v>
      </c>
      <c r="F108" s="53" t="s">
        <v>225</v>
      </c>
      <c r="G108" s="53"/>
      <c r="H108" s="53">
        <v>2</v>
      </c>
      <c r="I108" s="18" t="s">
        <v>449</v>
      </c>
      <c r="J108" s="52" t="s">
        <v>34</v>
      </c>
      <c r="K108" s="18" t="s">
        <v>450</v>
      </c>
      <c r="L108" s="18" t="s">
        <v>451</v>
      </c>
      <c r="M108" s="55" t="str">
        <f t="shared" si="3"/>
        <v>Parsun|F9.9 / F15 (232 cc)</v>
      </c>
      <c r="N108" s="55" t="str">
        <f>IF($E108=Consulta!$C$22,COUNTIF($E$5:$E108,Consulta!$C$22),"")</f>
        <v/>
      </c>
    </row>
    <row r="109" spans="1:14" ht="25.5" x14ac:dyDescent="0.25">
      <c r="A109" s="52" t="s">
        <v>80</v>
      </c>
      <c r="B109" s="18" t="s">
        <v>457</v>
      </c>
      <c r="C109" s="53" t="s">
        <v>217</v>
      </c>
      <c r="D109" s="52" t="s">
        <v>458</v>
      </c>
      <c r="E109" s="54" t="s">
        <v>415</v>
      </c>
      <c r="F109" s="53" t="s">
        <v>225</v>
      </c>
      <c r="G109" s="53">
        <v>17</v>
      </c>
      <c r="H109" s="53">
        <v>2</v>
      </c>
      <c r="I109" s="18" t="s">
        <v>449</v>
      </c>
      <c r="J109" s="52" t="s">
        <v>34</v>
      </c>
      <c r="K109" s="18" t="s">
        <v>450</v>
      </c>
      <c r="L109" s="18" t="s">
        <v>454</v>
      </c>
      <c r="M109" s="55" t="str">
        <f t="shared" si="3"/>
        <v>Parsun|F20 / F25 (498 cc)</v>
      </c>
      <c r="N109" s="55" t="str">
        <f>IF($E109=Consulta!$C$22,COUNTIF($E$5:$E109,Consulta!$C$22),"")</f>
        <v/>
      </c>
    </row>
    <row r="110" spans="1:14" ht="25.5" x14ac:dyDescent="0.25">
      <c r="A110" s="52" t="s">
        <v>80</v>
      </c>
      <c r="B110" s="18" t="s">
        <v>459</v>
      </c>
      <c r="C110" s="53" t="s">
        <v>217</v>
      </c>
      <c r="D110" s="52" t="s">
        <v>460</v>
      </c>
      <c r="E110" s="54" t="s">
        <v>415</v>
      </c>
      <c r="F110" s="53" t="s">
        <v>225</v>
      </c>
      <c r="G110" s="53">
        <v>18</v>
      </c>
      <c r="H110" s="53">
        <v>3</v>
      </c>
      <c r="I110" s="18" t="s">
        <v>449</v>
      </c>
      <c r="J110" s="52" t="s">
        <v>34</v>
      </c>
      <c r="K110" s="18" t="s">
        <v>450</v>
      </c>
      <c r="L110" s="18" t="s">
        <v>451</v>
      </c>
      <c r="M110" s="55" t="str">
        <f t="shared" si="3"/>
        <v>Parsun|F30 / F40 (747 cc)</v>
      </c>
      <c r="N110" s="55" t="str">
        <f>IF($E110=Consulta!$C$22,COUNTIF($E$5:$E110,Consulta!$C$22),"")</f>
        <v/>
      </c>
    </row>
    <row r="111" spans="1:14" ht="25.5" x14ac:dyDescent="0.25">
      <c r="A111" s="52" t="s">
        <v>81</v>
      </c>
      <c r="B111" s="18" t="s">
        <v>461</v>
      </c>
      <c r="C111" s="53" t="s">
        <v>217</v>
      </c>
      <c r="D111" s="52" t="s">
        <v>462</v>
      </c>
      <c r="E111" s="54" t="s">
        <v>463</v>
      </c>
      <c r="F111" s="53" t="s">
        <v>334</v>
      </c>
      <c r="G111" s="53"/>
      <c r="H111" s="53">
        <v>3</v>
      </c>
      <c r="I111" s="18" t="s">
        <v>75</v>
      </c>
      <c r="J111" s="52" t="s">
        <v>34</v>
      </c>
      <c r="K111" s="18" t="s">
        <v>464</v>
      </c>
      <c r="L111" s="18" t="s">
        <v>465</v>
      </c>
      <c r="M111" s="55" t="str">
        <f t="shared" si="3"/>
        <v>Acuáticas|Sea-Doo Spark / Spark Trixx (900 ACE, 60 y 90 HP)</v>
      </c>
      <c r="N111" s="55" t="str">
        <f>IF($E111=Consulta!$C$22,COUNTIF($E$5:$E111,Consulta!$C$22),"")</f>
        <v/>
      </c>
    </row>
    <row r="112" spans="1:14" ht="25.5" x14ac:dyDescent="0.25">
      <c r="A112" s="52" t="s">
        <v>81</v>
      </c>
      <c r="B112" s="18" t="s">
        <v>466</v>
      </c>
      <c r="C112" s="53" t="s">
        <v>217</v>
      </c>
      <c r="D112" s="52" t="s">
        <v>467</v>
      </c>
      <c r="E112" s="54" t="s">
        <v>468</v>
      </c>
      <c r="F112" s="53" t="s">
        <v>264</v>
      </c>
      <c r="G112" s="53"/>
      <c r="H112" s="53">
        <v>3</v>
      </c>
      <c r="I112" s="18" t="s">
        <v>75</v>
      </c>
      <c r="J112" s="52" t="s">
        <v>335</v>
      </c>
      <c r="K112" s="18" t="s">
        <v>469</v>
      </c>
      <c r="L112" s="18" t="s">
        <v>470</v>
      </c>
      <c r="M112" s="55" t="str">
        <f t="shared" si="3"/>
        <v>Acuáticas|Sea-Doo GTI / GTI SE 130 y 170, GTX 170 y 230, Wake Pro 230 (2021+)</v>
      </c>
      <c r="N112" s="55" t="str">
        <f>IF($E112=Consulta!$C$22,COUNTIF($E$5:$E112,Consulta!$C$22),"")</f>
        <v/>
      </c>
    </row>
    <row r="113" spans="1:14" ht="25.5" x14ac:dyDescent="0.25">
      <c r="A113" s="52" t="s">
        <v>81</v>
      </c>
      <c r="B113" s="18" t="s">
        <v>471</v>
      </c>
      <c r="C113" s="53" t="s">
        <v>217</v>
      </c>
      <c r="D113" s="52" t="s">
        <v>263</v>
      </c>
      <c r="E113" s="54" t="s">
        <v>468</v>
      </c>
      <c r="F113" s="53" t="s">
        <v>264</v>
      </c>
      <c r="G113" s="53"/>
      <c r="H113" s="53">
        <v>3</v>
      </c>
      <c r="I113" s="18" t="s">
        <v>75</v>
      </c>
      <c r="J113" s="52" t="s">
        <v>36</v>
      </c>
      <c r="K113" s="18" t="s">
        <v>469</v>
      </c>
      <c r="L113" s="18" t="s">
        <v>472</v>
      </c>
      <c r="M113" s="55" t="str">
        <f t="shared" si="3"/>
        <v>Acuáticas|Sea-Doo Fish Pro / Explorer Pro (1630 ACE)</v>
      </c>
      <c r="N113" s="55" t="str">
        <f>IF($E113=Consulta!$C$22,COUNTIF($E$5:$E113,Consulta!$C$22),"")</f>
        <v/>
      </c>
    </row>
    <row r="114" spans="1:14" ht="25.5" x14ac:dyDescent="0.25">
      <c r="A114" s="52" t="s">
        <v>81</v>
      </c>
      <c r="B114" s="18" t="s">
        <v>473</v>
      </c>
      <c r="C114" s="53" t="s">
        <v>217</v>
      </c>
      <c r="D114" s="52" t="s">
        <v>474</v>
      </c>
      <c r="E114" s="54" t="s">
        <v>475</v>
      </c>
      <c r="F114" s="53" t="s">
        <v>334</v>
      </c>
      <c r="G114" s="53"/>
      <c r="H114" s="53">
        <v>3</v>
      </c>
      <c r="I114" s="18" t="s">
        <v>75</v>
      </c>
      <c r="J114" s="52" t="s">
        <v>34</v>
      </c>
      <c r="K114" s="18" t="s">
        <v>464</v>
      </c>
      <c r="L114" s="18" t="s">
        <v>476</v>
      </c>
      <c r="M114" s="55" t="str">
        <f t="shared" si="3"/>
        <v>Acuáticas|Sea-Doo RXP-X / RXT-X / GTX Limited / GTR-X 300 (2018+)</v>
      </c>
      <c r="N114" s="55" t="str">
        <f>IF($E114=Consulta!$C$22,COUNTIF($E$5:$E114,Consulta!$C$22),"")</f>
        <v/>
      </c>
    </row>
    <row r="115" spans="1:14" ht="25.5" x14ac:dyDescent="0.25">
      <c r="A115" s="52" t="s">
        <v>81</v>
      </c>
      <c r="B115" s="18" t="s">
        <v>477</v>
      </c>
      <c r="C115" s="53" t="s">
        <v>217</v>
      </c>
      <c r="D115" s="52" t="s">
        <v>474</v>
      </c>
      <c r="E115" s="54" t="s">
        <v>475</v>
      </c>
      <c r="F115" s="53" t="s">
        <v>334</v>
      </c>
      <c r="G115" s="53"/>
      <c r="H115" s="53">
        <v>3</v>
      </c>
      <c r="I115" s="18" t="s">
        <v>75</v>
      </c>
      <c r="J115" s="52" t="s">
        <v>335</v>
      </c>
      <c r="K115" s="18" t="s">
        <v>464</v>
      </c>
      <c r="L115" s="18" t="s">
        <v>478</v>
      </c>
      <c r="M115" s="55" t="str">
        <f t="shared" si="3"/>
        <v>Acuáticas|Sea-Doo RXP-X / RXT-X 325 SS (2024+)</v>
      </c>
      <c r="N115" s="55" t="str">
        <f>IF($E115=Consulta!$C$22,COUNTIF($E$5:$E115,Consulta!$C$22),"")</f>
        <v/>
      </c>
    </row>
    <row r="116" spans="1:14" ht="25.5" x14ac:dyDescent="0.25">
      <c r="A116" s="52" t="s">
        <v>81</v>
      </c>
      <c r="B116" s="18" t="s">
        <v>479</v>
      </c>
      <c r="C116" s="53" t="s">
        <v>217</v>
      </c>
      <c r="D116" s="52" t="s">
        <v>480</v>
      </c>
      <c r="E116" s="54" t="s">
        <v>468</v>
      </c>
      <c r="F116" s="53" t="s">
        <v>240</v>
      </c>
      <c r="G116" s="53"/>
      <c r="H116" s="53">
        <v>3</v>
      </c>
      <c r="I116" s="18" t="s">
        <v>255</v>
      </c>
      <c r="J116" s="52" t="s">
        <v>34</v>
      </c>
      <c r="K116" s="18" t="s">
        <v>327</v>
      </c>
      <c r="L116" s="18" t="s">
        <v>481</v>
      </c>
      <c r="M116" s="55" t="str">
        <f t="shared" si="3"/>
        <v>Acuáticas|Sea-Doo 4-TEC 1503 (GTI, GTX, RXP, RXT, Wake; 2007–2015)</v>
      </c>
      <c r="N116" s="55" t="str">
        <f>IF($E116=Consulta!$C$22,COUNTIF($E$5:$E116,Consulta!$C$22),"")</f>
        <v/>
      </c>
    </row>
    <row r="117" spans="1:14" x14ac:dyDescent="0.25">
      <c r="A117" s="52" t="s">
        <v>81</v>
      </c>
      <c r="B117" s="18" t="s">
        <v>482</v>
      </c>
      <c r="C117" s="53" t="s">
        <v>217</v>
      </c>
      <c r="D117" s="52" t="s">
        <v>483</v>
      </c>
      <c r="E117" s="54" t="s">
        <v>468</v>
      </c>
      <c r="F117" s="53" t="s">
        <v>240</v>
      </c>
      <c r="G117" s="53"/>
      <c r="H117" s="53">
        <v>3</v>
      </c>
      <c r="I117" s="18" t="s">
        <v>255</v>
      </c>
      <c r="J117" s="52" t="s">
        <v>34</v>
      </c>
      <c r="K117" s="18" t="s">
        <v>327</v>
      </c>
      <c r="L117" s="18" t="s">
        <v>255</v>
      </c>
      <c r="M117" s="55" t="str">
        <f t="shared" si="3"/>
        <v>Acuáticas|Sea-Doo GTR / GTX 230 (1500 HO ACE, 2017)</v>
      </c>
      <c r="N117" s="55" t="str">
        <f>IF($E117=Consulta!$C$22,COUNTIF($E$5:$E117,Consulta!$C$22),"")</f>
        <v/>
      </c>
    </row>
    <row r="118" spans="1:14" ht="25.5" x14ac:dyDescent="0.25">
      <c r="A118" s="52" t="s">
        <v>81</v>
      </c>
      <c r="B118" s="18" t="s">
        <v>484</v>
      </c>
      <c r="C118" s="53" t="s">
        <v>249</v>
      </c>
      <c r="D118" s="52" t="s">
        <v>228</v>
      </c>
      <c r="E118" s="54" t="s">
        <v>485</v>
      </c>
      <c r="F118" s="53" t="s">
        <v>240</v>
      </c>
      <c r="G118" s="53"/>
      <c r="H118" s="53">
        <v>2</v>
      </c>
      <c r="I118" s="18" t="s">
        <v>255</v>
      </c>
      <c r="J118" s="52" t="s">
        <v>36</v>
      </c>
      <c r="K118" s="18" t="s">
        <v>486</v>
      </c>
      <c r="L118" s="18" t="s">
        <v>487</v>
      </c>
      <c r="M118" s="55" t="str">
        <f t="shared" si="3"/>
        <v>Acuáticas|Sea-Doo 2T carburados 717 / 787 / 947 (1997–2002)</v>
      </c>
      <c r="N118" s="55" t="str">
        <f>IF($E118=Consulta!$C$22,COUNTIF($E$5:$E118,Consulta!$C$22),"")</f>
        <v/>
      </c>
    </row>
    <row r="119" spans="1:14" x14ac:dyDescent="0.25">
      <c r="A119" s="52" t="s">
        <v>81</v>
      </c>
      <c r="B119" s="18" t="s">
        <v>488</v>
      </c>
      <c r="C119" s="53" t="s">
        <v>249</v>
      </c>
      <c r="D119" s="52" t="s">
        <v>228</v>
      </c>
      <c r="E119" s="54" t="s">
        <v>489</v>
      </c>
      <c r="F119" s="53" t="s">
        <v>342</v>
      </c>
      <c r="G119" s="53"/>
      <c r="H119" s="53">
        <v>2</v>
      </c>
      <c r="I119" s="18" t="s">
        <v>255</v>
      </c>
      <c r="J119" s="52" t="s">
        <v>36</v>
      </c>
      <c r="K119" s="18" t="s">
        <v>486</v>
      </c>
      <c r="L119" s="18" t="s">
        <v>490</v>
      </c>
      <c r="M119" s="55" t="str">
        <f t="shared" si="3"/>
        <v>Acuáticas|Sea-Doo 2T inyección directa 947 DI (2000–2004)</v>
      </c>
      <c r="N119" s="55" t="str">
        <f>IF($E119=Consulta!$C$22,COUNTIF($E$5:$E119,Consulta!$C$22),"")</f>
        <v/>
      </c>
    </row>
    <row r="120" spans="1:14" ht="25.5" x14ac:dyDescent="0.25">
      <c r="A120" s="52" t="s">
        <v>81</v>
      </c>
      <c r="B120" s="18" t="s">
        <v>491</v>
      </c>
      <c r="C120" s="53" t="s">
        <v>217</v>
      </c>
      <c r="D120" s="52" t="s">
        <v>492</v>
      </c>
      <c r="E120" s="54" t="s">
        <v>493</v>
      </c>
      <c r="F120" s="53" t="s">
        <v>299</v>
      </c>
      <c r="G120" s="53"/>
      <c r="H120" s="53">
        <v>3</v>
      </c>
      <c r="I120" s="18" t="s">
        <v>255</v>
      </c>
      <c r="J120" s="52" t="s">
        <v>36</v>
      </c>
      <c r="K120" s="18" t="s">
        <v>494</v>
      </c>
      <c r="L120" s="18" t="s">
        <v>495</v>
      </c>
      <c r="M120" s="55" t="str">
        <f t="shared" si="3"/>
        <v>Acuáticas|Yamaha WaveRunner EX / VX (TR-1 1049 cc, 2016+)</v>
      </c>
      <c r="N120" s="55" t="str">
        <f>IF($E120=Consulta!$C$22,COUNTIF($E$5:$E120,Consulta!$C$22),"")</f>
        <v/>
      </c>
    </row>
    <row r="121" spans="1:14" ht="25.5" x14ac:dyDescent="0.25">
      <c r="A121" s="52" t="s">
        <v>81</v>
      </c>
      <c r="B121" s="18" t="s">
        <v>496</v>
      </c>
      <c r="C121" s="53" t="s">
        <v>217</v>
      </c>
      <c r="D121" s="52" t="s">
        <v>497</v>
      </c>
      <c r="E121" s="54" t="s">
        <v>493</v>
      </c>
      <c r="F121" s="53" t="s">
        <v>299</v>
      </c>
      <c r="G121" s="53"/>
      <c r="H121" s="53">
        <v>4</v>
      </c>
      <c r="I121" s="18" t="s">
        <v>255</v>
      </c>
      <c r="J121" s="52" t="s">
        <v>36</v>
      </c>
      <c r="K121" s="18" t="s">
        <v>486</v>
      </c>
      <c r="L121" s="18" t="s">
        <v>255</v>
      </c>
      <c r="M121" s="55" t="str">
        <f t="shared" si="3"/>
        <v>Acuáticas|Yamaha WaveRunner VX / FX / V1 de 1.0 L (2004–2012)</v>
      </c>
      <c r="N121" s="55" t="str">
        <f>IF($E121=Consulta!$C$22,COUNTIF($E$5:$E121,Consulta!$C$22),"")</f>
        <v/>
      </c>
    </row>
    <row r="122" spans="1:14" ht="25.5" x14ac:dyDescent="0.25">
      <c r="A122" s="52" t="s">
        <v>81</v>
      </c>
      <c r="B122" s="18" t="s">
        <v>498</v>
      </c>
      <c r="C122" s="53" t="s">
        <v>217</v>
      </c>
      <c r="D122" s="52" t="s">
        <v>499</v>
      </c>
      <c r="E122" s="54" t="s">
        <v>500</v>
      </c>
      <c r="F122" s="53" t="s">
        <v>501</v>
      </c>
      <c r="G122" s="53"/>
      <c r="H122" s="53">
        <v>4</v>
      </c>
      <c r="I122" s="18" t="s">
        <v>255</v>
      </c>
      <c r="J122" s="52" t="s">
        <v>36</v>
      </c>
      <c r="K122" s="18" t="s">
        <v>486</v>
      </c>
      <c r="L122" s="18" t="s">
        <v>255</v>
      </c>
      <c r="M122" s="55" t="str">
        <f t="shared" si="3"/>
        <v>Acuáticas|Yamaha WaveRunner FX HO / FX Cruiser / VXR / VXS / FZR / FZS (1.8 L, 2009–2017)</v>
      </c>
      <c r="N122" s="55" t="str">
        <f>IF($E122=Consulta!$C$22,COUNTIF($E$5:$E122,Consulta!$C$22),"")</f>
        <v/>
      </c>
    </row>
    <row r="123" spans="1:14" ht="25.5" x14ac:dyDescent="0.25">
      <c r="A123" s="52" t="s">
        <v>81</v>
      </c>
      <c r="B123" s="18" t="s">
        <v>502</v>
      </c>
      <c r="C123" s="53" t="s">
        <v>217</v>
      </c>
      <c r="D123" s="52" t="s">
        <v>503</v>
      </c>
      <c r="E123" s="54" t="s">
        <v>504</v>
      </c>
      <c r="F123" s="53" t="s">
        <v>299</v>
      </c>
      <c r="G123" s="53"/>
      <c r="H123" s="53">
        <v>4</v>
      </c>
      <c r="I123" s="18" t="s">
        <v>255</v>
      </c>
      <c r="J123" s="52" t="s">
        <v>36</v>
      </c>
      <c r="K123" s="18" t="s">
        <v>486</v>
      </c>
      <c r="L123" s="18" t="s">
        <v>505</v>
      </c>
      <c r="M123" s="55" t="str">
        <f t="shared" si="3"/>
        <v>Acuáticas|Yamaha WaveRunner FX SVHO / FZR SVHO (2014–2016)</v>
      </c>
      <c r="N123" s="55" t="str">
        <f>IF($E123=Consulta!$C$22,COUNTIF($E$5:$E123,Consulta!$C$22),"")</f>
        <v/>
      </c>
    </row>
    <row r="124" spans="1:14" ht="25.5" x14ac:dyDescent="0.25">
      <c r="A124" s="52" t="s">
        <v>81</v>
      </c>
      <c r="B124" s="18" t="s">
        <v>506</v>
      </c>
      <c r="C124" s="53" t="s">
        <v>249</v>
      </c>
      <c r="D124" s="52" t="s">
        <v>263</v>
      </c>
      <c r="E124" s="54" t="s">
        <v>507</v>
      </c>
      <c r="F124" s="53" t="s">
        <v>342</v>
      </c>
      <c r="G124" s="53"/>
      <c r="H124" s="53">
        <v>3</v>
      </c>
      <c r="I124" s="18" t="s">
        <v>255</v>
      </c>
      <c r="J124" s="52" t="s">
        <v>36</v>
      </c>
      <c r="K124" s="18" t="s">
        <v>486</v>
      </c>
      <c r="L124" s="18" t="s">
        <v>255</v>
      </c>
      <c r="M124" s="55" t="str">
        <f t="shared" si="3"/>
        <v>Acuáticas|Yamaha WaveRunner GP1200R / GP1300R (1999–2008)</v>
      </c>
      <c r="N124" s="55" t="str">
        <f>IF($E124=Consulta!$C$22,COUNTIF($E$5:$E124,Consulta!$C$22),"")</f>
        <v/>
      </c>
    </row>
    <row r="125" spans="1:14" ht="25.5" x14ac:dyDescent="0.25">
      <c r="A125" s="52" t="s">
        <v>81</v>
      </c>
      <c r="B125" s="18" t="s">
        <v>508</v>
      </c>
      <c r="C125" s="53" t="s">
        <v>217</v>
      </c>
      <c r="D125" s="52" t="s">
        <v>230</v>
      </c>
      <c r="E125" s="54" t="s">
        <v>509</v>
      </c>
      <c r="F125" s="53" t="s">
        <v>299</v>
      </c>
      <c r="G125" s="53"/>
      <c r="H125" s="53">
        <v>4</v>
      </c>
      <c r="I125" s="18" t="s">
        <v>255</v>
      </c>
      <c r="J125" s="52" t="s">
        <v>36</v>
      </c>
      <c r="K125" s="18" t="s">
        <v>486</v>
      </c>
      <c r="L125" s="18" t="s">
        <v>510</v>
      </c>
      <c r="M125" s="55" t="str">
        <f t="shared" si="3"/>
        <v>Acuáticas|Kawasaki Jet Ski STX-15F / Ultra LX (2004 en adelante)</v>
      </c>
      <c r="N125" s="55" t="str">
        <f>IF($E125=Consulta!$C$22,COUNTIF($E$5:$E125,Consulta!$C$22),"")</f>
        <v/>
      </c>
    </row>
    <row r="126" spans="1:14" ht="25.5" x14ac:dyDescent="0.25">
      <c r="A126" s="52" t="s">
        <v>81</v>
      </c>
      <c r="B126" s="18" t="s">
        <v>511</v>
      </c>
      <c r="C126" s="53" t="s">
        <v>249</v>
      </c>
      <c r="D126" s="52" t="s">
        <v>228</v>
      </c>
      <c r="E126" s="54" t="s">
        <v>485</v>
      </c>
      <c r="F126" s="53" t="s">
        <v>240</v>
      </c>
      <c r="G126" s="53"/>
      <c r="H126" s="53">
        <v>2</v>
      </c>
      <c r="I126" s="18" t="s">
        <v>255</v>
      </c>
      <c r="J126" s="52" t="s">
        <v>36</v>
      </c>
      <c r="K126" s="18" t="s">
        <v>486</v>
      </c>
      <c r="L126" s="18" t="s">
        <v>512</v>
      </c>
      <c r="M126" s="55" t="str">
        <f t="shared" si="3"/>
        <v>Acuáticas|Kawasaki Jet Ski SX-R 800 / STX 800 (2T, 1992–2011)</v>
      </c>
      <c r="N126" s="55" t="str">
        <f>IF($E126=Consulta!$C$22,COUNTIF($E$5:$E126,Consulta!$C$22),"")</f>
        <v/>
      </c>
    </row>
  </sheetData>
  <autoFilter ref="A4:L126" xr:uid="{00000000-0009-0000-0000-000004000000}"/>
  <conditionalFormatting sqref="J5:J126">
    <cfRule type="expression" dxfId="10" priority="2">
      <formula>$J5="Confirmado"</formula>
    </cfRule>
    <cfRule type="expression" dxfId="9" priority="3">
      <formula>$J5="Por equivalencia"</formula>
    </cfRule>
    <cfRule type="expression" dxfId="8" priority="4">
      <formula>LEFT($J5,9)="Verificar"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6F8F"/>
    <pageSetUpPr fitToPage="1"/>
  </sheetPr>
  <dimension ref="B1:O30"/>
  <sheetViews>
    <sheetView showGridLines="0" zoomScaleNormal="100" workbookViewId="0">
      <selection activeCell="K34" sqref="K34"/>
    </sheetView>
  </sheetViews>
  <sheetFormatPr baseColWidth="10" defaultColWidth="8.7109375" defaultRowHeight="15" x14ac:dyDescent="0.25"/>
  <cols>
    <col min="1" max="1" width="2" customWidth="1"/>
    <col min="2" max="2" width="12" customWidth="1"/>
    <col min="3" max="3" width="36" customWidth="1"/>
    <col min="4" max="4" width="13" customWidth="1"/>
    <col min="5" max="6" width="11" customWidth="1"/>
    <col min="7" max="7" width="10" customWidth="1"/>
    <col min="8" max="8" width="11" customWidth="1"/>
    <col min="9" max="11" width="14" customWidth="1"/>
    <col min="12" max="12" width="16" customWidth="1"/>
    <col min="13" max="13" width="24" customWidth="1"/>
    <col min="14" max="14" width="2" customWidth="1"/>
    <col min="15" max="15" width="8" hidden="1" customWidth="1"/>
  </cols>
  <sheetData>
    <row r="1" spans="2:15" ht="23.25" x14ac:dyDescent="0.35">
      <c r="B1" s="27" t="s">
        <v>513</v>
      </c>
    </row>
    <row r="2" spans="2:15" x14ac:dyDescent="0.25">
      <c r="B2" s="14" t="s">
        <v>514</v>
      </c>
    </row>
    <row r="4" spans="2:15" x14ac:dyDescent="0.25">
      <c r="B4" s="28" t="s">
        <v>515</v>
      </c>
      <c r="C4" s="48" t="s">
        <v>516</v>
      </c>
      <c r="E4" s="33" t="s">
        <v>517</v>
      </c>
    </row>
    <row r="5" spans="2:15" x14ac:dyDescent="0.25">
      <c r="B5" s="28" t="s">
        <v>197</v>
      </c>
      <c r="C5" s="48" t="s">
        <v>518</v>
      </c>
      <c r="E5" s="33" t="s">
        <v>519</v>
      </c>
    </row>
    <row r="6" spans="2:15" x14ac:dyDescent="0.25">
      <c r="B6" s="28" t="s">
        <v>520</v>
      </c>
      <c r="C6" s="56">
        <f ca="1">TODAY()</f>
        <v>46307</v>
      </c>
    </row>
    <row r="7" spans="2:15" x14ac:dyDescent="0.25">
      <c r="B7" s="28" t="s">
        <v>20</v>
      </c>
      <c r="C7" s="48"/>
    </row>
    <row r="11" spans="2:15" ht="31.5" customHeight="1" x14ac:dyDescent="0.25">
      <c r="B11" s="16" t="s">
        <v>71</v>
      </c>
      <c r="C11" s="16" t="s">
        <v>191</v>
      </c>
      <c r="D11" s="16" t="s">
        <v>85</v>
      </c>
      <c r="E11" s="16" t="s">
        <v>196</v>
      </c>
      <c r="F11" s="16" t="s">
        <v>521</v>
      </c>
      <c r="G11" s="16" t="s">
        <v>522</v>
      </c>
      <c r="H11" s="16" t="s">
        <v>523</v>
      </c>
      <c r="I11" s="16" t="s">
        <v>524</v>
      </c>
      <c r="J11" s="16" t="s">
        <v>525</v>
      </c>
      <c r="K11" s="16" t="s">
        <v>526</v>
      </c>
      <c r="L11" s="16" t="s">
        <v>527</v>
      </c>
      <c r="M11" s="16" t="s">
        <v>528</v>
      </c>
    </row>
    <row r="12" spans="2:15" x14ac:dyDescent="0.25">
      <c r="B12" s="57" t="s">
        <v>77</v>
      </c>
      <c r="C12" s="48" t="s">
        <v>192</v>
      </c>
      <c r="D12" s="54" t="str">
        <f>IF(O12="","",IF(O12=0,"—",INDEX(Catálogo!$E$5:$E$126,O12)))</f>
        <v>DCPR6E</v>
      </c>
      <c r="E12" s="53">
        <f>IF(OR(O12="",O12=0),"",IF(INDEX(Catálogo!$H$5:$H$126,O12)="","",INDEX(Catálogo!$H$5:$H$126,O12)))</f>
        <v>4</v>
      </c>
      <c r="F12" s="57"/>
      <c r="G12" s="57">
        <v>2</v>
      </c>
      <c r="H12" s="53">
        <f t="shared" ref="H12:H23" si="0">IF(NOT(ISNUMBER(G12)),0,G12*IF(ISNUMBER(F12),F12,IF(ISNUMBER(E12),E12,0)))</f>
        <v>8</v>
      </c>
      <c r="I12" s="58">
        <f>IF(OR(D12="",D12="—"),"",IFERROR(INDEX('Precios y Stock'!$G$5:$G$56,MATCH(D12,'Precios y Stock'!$A$5:$A$56,0)),""))</f>
        <v>30000</v>
      </c>
      <c r="J12" s="59"/>
      <c r="K12" s="58">
        <f t="shared" ref="K12:K23" si="1">IF(ISNUMBER(J12),J12,I12)</f>
        <v>30000</v>
      </c>
      <c r="L12" s="58">
        <f t="shared" ref="L12:L23" si="2">IF(AND(ISNUMBER(K12),H12&gt;0),H12*K12,0)</f>
        <v>240000</v>
      </c>
      <c r="M12" s="18" t="str">
        <f t="shared" ref="M12:M23" si="3">IF(C12="","",IF(O12=0,"Modelo no encontrado",IF(AND(NOT(ISNUMBER(F12)),NOT(ISNUMBER(E12))),"Define bujías por motor",IF(NOT(ISNUMBER(G12)),"Falta nº de motores",IF(NOT(ISNUMBER(K12)),"Falta precio","OK")))))</f>
        <v>OK</v>
      </c>
      <c r="O12" s="49">
        <f>IF(C12="","",IFERROR(MATCH(B12&amp;"|"&amp;C12,Catálogo!$M$5:$M$126,0),0))</f>
        <v>4</v>
      </c>
    </row>
    <row r="13" spans="2:15" x14ac:dyDescent="0.25">
      <c r="B13" s="57"/>
      <c r="C13" s="48"/>
      <c r="D13" s="54" t="str">
        <f>IF(O13="","",IF(O13=0,"—",INDEX(Catálogo!$E$5:$E$126,O13)))</f>
        <v/>
      </c>
      <c r="E13" s="53" t="str">
        <f>IF(OR(O13="",O13=0),"",IF(INDEX(Catálogo!$H$5:$H$126,O13)="","",INDEX(Catálogo!$H$5:$H$126,O13)))</f>
        <v/>
      </c>
      <c r="F13" s="57"/>
      <c r="G13" s="57"/>
      <c r="H13" s="53">
        <f t="shared" si="0"/>
        <v>0</v>
      </c>
      <c r="I13" s="58" t="str">
        <f>IF(OR(D13="",D13="—"),"",IFERROR(INDEX('Precios y Stock'!$G$5:$G$56,MATCH(D13,'Precios y Stock'!$A$5:$A$56,0)),""))</f>
        <v/>
      </c>
      <c r="J13" s="59"/>
      <c r="K13" s="58" t="str">
        <f t="shared" si="1"/>
        <v/>
      </c>
      <c r="L13" s="58">
        <f t="shared" si="2"/>
        <v>0</v>
      </c>
      <c r="M13" s="18" t="str">
        <f t="shared" si="3"/>
        <v/>
      </c>
      <c r="O13" s="49" t="str">
        <f>IF(C13="","",IFERROR(MATCH(B13&amp;"|"&amp;C13,Catálogo!$M$5:$M$126,0),0))</f>
        <v/>
      </c>
    </row>
    <row r="14" spans="2:15" x14ac:dyDescent="0.25">
      <c r="B14" s="57"/>
      <c r="C14" s="48"/>
      <c r="D14" s="54" t="str">
        <f>IF(O14="","",IF(O14=0,"—",INDEX(Catálogo!$E$5:$E$126,O14)))</f>
        <v/>
      </c>
      <c r="E14" s="53" t="str">
        <f>IF(OR(O14="",O14=0),"",IF(INDEX(Catálogo!$H$5:$H$126,O14)="","",INDEX(Catálogo!$H$5:$H$126,O14)))</f>
        <v/>
      </c>
      <c r="F14" s="57"/>
      <c r="G14" s="57"/>
      <c r="H14" s="53">
        <f t="shared" si="0"/>
        <v>0</v>
      </c>
      <c r="I14" s="58" t="str">
        <f>IF(OR(D14="",D14="—"),"",IFERROR(INDEX('Precios y Stock'!$G$5:$G$56,MATCH(D14,'Precios y Stock'!$A$5:$A$56,0)),""))</f>
        <v/>
      </c>
      <c r="J14" s="59"/>
      <c r="K14" s="58" t="str">
        <f t="shared" si="1"/>
        <v/>
      </c>
      <c r="L14" s="58">
        <f t="shared" si="2"/>
        <v>0</v>
      </c>
      <c r="M14" s="18" t="str">
        <f t="shared" si="3"/>
        <v/>
      </c>
      <c r="O14" s="49" t="str">
        <f>IF(C14="","",IFERROR(MATCH(B14&amp;"|"&amp;C14,Catálogo!$M$5:$M$126,0),0))</f>
        <v/>
      </c>
    </row>
    <row r="15" spans="2:15" x14ac:dyDescent="0.25">
      <c r="B15" s="57"/>
      <c r="C15" s="48"/>
      <c r="D15" s="54" t="str">
        <f>IF(O15="","",IF(O15=0,"—",INDEX(Catálogo!$E$5:$E$126,O15)))</f>
        <v/>
      </c>
      <c r="E15" s="53" t="str">
        <f>IF(OR(O15="",O15=0),"",IF(INDEX(Catálogo!$H$5:$H$126,O15)="","",INDEX(Catálogo!$H$5:$H$126,O15)))</f>
        <v/>
      </c>
      <c r="F15" s="57"/>
      <c r="G15" s="57"/>
      <c r="H15" s="53">
        <f t="shared" si="0"/>
        <v>0</v>
      </c>
      <c r="I15" s="58" t="str">
        <f>IF(OR(D15="",D15="—"),"",IFERROR(INDEX('Precios y Stock'!$G$5:$G$56,MATCH(D15,'Precios y Stock'!$A$5:$A$56,0)),""))</f>
        <v/>
      </c>
      <c r="J15" s="59"/>
      <c r="K15" s="58" t="str">
        <f t="shared" si="1"/>
        <v/>
      </c>
      <c r="L15" s="58">
        <f t="shared" si="2"/>
        <v>0</v>
      </c>
      <c r="M15" s="18" t="str">
        <f t="shared" si="3"/>
        <v/>
      </c>
      <c r="O15" s="49" t="str">
        <f>IF(C15="","",IFERROR(MATCH(B15&amp;"|"&amp;C15,Catálogo!$M$5:$M$126,0),0))</f>
        <v/>
      </c>
    </row>
    <row r="16" spans="2:15" x14ac:dyDescent="0.25">
      <c r="B16" s="57"/>
      <c r="C16" s="48"/>
      <c r="D16" s="54" t="str">
        <f>IF(O16="","",IF(O16=0,"—",INDEX(Catálogo!$E$5:$E$126,O16)))</f>
        <v/>
      </c>
      <c r="E16" s="53" t="str">
        <f>IF(OR(O16="",O16=0),"",IF(INDEX(Catálogo!$H$5:$H$126,O16)="","",INDEX(Catálogo!$H$5:$H$126,O16)))</f>
        <v/>
      </c>
      <c r="F16" s="57"/>
      <c r="G16" s="57"/>
      <c r="H16" s="53">
        <f t="shared" si="0"/>
        <v>0</v>
      </c>
      <c r="I16" s="58" t="str">
        <f>IF(OR(D16="",D16="—"),"",IFERROR(INDEX('Precios y Stock'!$G$5:$G$56,MATCH(D16,'Precios y Stock'!$A$5:$A$56,0)),""))</f>
        <v/>
      </c>
      <c r="J16" s="59"/>
      <c r="K16" s="58" t="str">
        <f t="shared" si="1"/>
        <v/>
      </c>
      <c r="L16" s="58">
        <f t="shared" si="2"/>
        <v>0</v>
      </c>
      <c r="M16" s="18" t="str">
        <f t="shared" si="3"/>
        <v/>
      </c>
      <c r="O16" s="49" t="str">
        <f>IF(C16="","",IFERROR(MATCH(B16&amp;"|"&amp;C16,Catálogo!$M$5:$M$126,0),0))</f>
        <v/>
      </c>
    </row>
    <row r="17" spans="2:15" x14ac:dyDescent="0.25">
      <c r="B17" s="57"/>
      <c r="C17" s="48"/>
      <c r="D17" s="54" t="str">
        <f>IF(O17="","",IF(O17=0,"—",INDEX(Catálogo!$E$5:$E$126,O17)))</f>
        <v/>
      </c>
      <c r="E17" s="53" t="str">
        <f>IF(OR(O17="",O17=0),"",IF(INDEX(Catálogo!$H$5:$H$126,O17)="","",INDEX(Catálogo!$H$5:$H$126,O17)))</f>
        <v/>
      </c>
      <c r="F17" s="57"/>
      <c r="G17" s="57"/>
      <c r="H17" s="53">
        <f t="shared" si="0"/>
        <v>0</v>
      </c>
      <c r="I17" s="58" t="str">
        <f>IF(OR(D17="",D17="—"),"",IFERROR(INDEX('Precios y Stock'!$G$5:$G$56,MATCH(D17,'Precios y Stock'!$A$5:$A$56,0)),""))</f>
        <v/>
      </c>
      <c r="J17" s="59"/>
      <c r="K17" s="58" t="str">
        <f t="shared" si="1"/>
        <v/>
      </c>
      <c r="L17" s="58">
        <f t="shared" si="2"/>
        <v>0</v>
      </c>
      <c r="M17" s="18" t="str">
        <f t="shared" si="3"/>
        <v/>
      </c>
      <c r="O17" s="49" t="str">
        <f>IF(C17="","",IFERROR(MATCH(B17&amp;"|"&amp;C17,Catálogo!$M$5:$M$126,0),0))</f>
        <v/>
      </c>
    </row>
    <row r="18" spans="2:15" x14ac:dyDescent="0.25">
      <c r="B18" s="57"/>
      <c r="C18" s="48"/>
      <c r="D18" s="54" t="str">
        <f>IF(O18="","",IF(O18=0,"—",INDEX(Catálogo!$E$5:$E$126,O18)))</f>
        <v/>
      </c>
      <c r="E18" s="53" t="str">
        <f>IF(OR(O18="",O18=0),"",IF(INDEX(Catálogo!$H$5:$H$126,O18)="","",INDEX(Catálogo!$H$5:$H$126,O18)))</f>
        <v/>
      </c>
      <c r="F18" s="57"/>
      <c r="G18" s="57"/>
      <c r="H18" s="53">
        <f t="shared" si="0"/>
        <v>0</v>
      </c>
      <c r="I18" s="58" t="str">
        <f>IF(OR(D18="",D18="—"),"",IFERROR(INDEX('Precios y Stock'!$G$5:$G$56,MATCH(D18,'Precios y Stock'!$A$5:$A$56,0)),""))</f>
        <v/>
      </c>
      <c r="J18" s="59"/>
      <c r="K18" s="58" t="str">
        <f t="shared" si="1"/>
        <v/>
      </c>
      <c r="L18" s="58">
        <f t="shared" si="2"/>
        <v>0</v>
      </c>
      <c r="M18" s="18" t="str">
        <f t="shared" si="3"/>
        <v/>
      </c>
      <c r="O18" s="49" t="str">
        <f>IF(C18="","",IFERROR(MATCH(B18&amp;"|"&amp;C18,Catálogo!$M$5:$M$126,0),0))</f>
        <v/>
      </c>
    </row>
    <row r="19" spans="2:15" x14ac:dyDescent="0.25">
      <c r="B19" s="57"/>
      <c r="C19" s="48"/>
      <c r="D19" s="54" t="str">
        <f>IF(O19="","",IF(O19=0,"—",INDEX(Catálogo!$E$5:$E$126,O19)))</f>
        <v/>
      </c>
      <c r="E19" s="53" t="str">
        <f>IF(OR(O19="",O19=0),"",IF(INDEX(Catálogo!$H$5:$H$126,O19)="","",INDEX(Catálogo!$H$5:$H$126,O19)))</f>
        <v/>
      </c>
      <c r="F19" s="57"/>
      <c r="G19" s="57"/>
      <c r="H19" s="53">
        <f t="shared" si="0"/>
        <v>0</v>
      </c>
      <c r="I19" s="58" t="str">
        <f>IF(OR(D19="",D19="—"),"",IFERROR(INDEX('Precios y Stock'!$G$5:$G$56,MATCH(D19,'Precios y Stock'!$A$5:$A$56,0)),""))</f>
        <v/>
      </c>
      <c r="J19" s="59"/>
      <c r="K19" s="58" t="str">
        <f t="shared" si="1"/>
        <v/>
      </c>
      <c r="L19" s="58">
        <f t="shared" si="2"/>
        <v>0</v>
      </c>
      <c r="M19" s="18" t="str">
        <f t="shared" si="3"/>
        <v/>
      </c>
      <c r="O19" s="49" t="str">
        <f>IF(C19="","",IFERROR(MATCH(B19&amp;"|"&amp;C19,Catálogo!$M$5:$M$126,0),0))</f>
        <v/>
      </c>
    </row>
    <row r="20" spans="2:15" x14ac:dyDescent="0.25">
      <c r="B20" s="57"/>
      <c r="C20" s="48"/>
      <c r="D20" s="54" t="str">
        <f>IF(O20="","",IF(O20=0,"—",INDEX(Catálogo!$E$5:$E$126,O20)))</f>
        <v/>
      </c>
      <c r="E20" s="53" t="str">
        <f>IF(OR(O20="",O20=0),"",IF(INDEX(Catálogo!$H$5:$H$126,O20)="","",INDEX(Catálogo!$H$5:$H$126,O20)))</f>
        <v/>
      </c>
      <c r="F20" s="57"/>
      <c r="G20" s="57"/>
      <c r="H20" s="53">
        <f t="shared" si="0"/>
        <v>0</v>
      </c>
      <c r="I20" s="58" t="str">
        <f>IF(OR(D20="",D20="—"),"",IFERROR(INDEX('Precios y Stock'!$G$5:$G$56,MATCH(D20,'Precios y Stock'!$A$5:$A$56,0)),""))</f>
        <v/>
      </c>
      <c r="J20" s="59"/>
      <c r="K20" s="58" t="str">
        <f t="shared" si="1"/>
        <v/>
      </c>
      <c r="L20" s="58">
        <f t="shared" si="2"/>
        <v>0</v>
      </c>
      <c r="M20" s="18" t="str">
        <f t="shared" si="3"/>
        <v/>
      </c>
      <c r="O20" s="49" t="str">
        <f>IF(C20="","",IFERROR(MATCH(B20&amp;"|"&amp;C20,Catálogo!$M$5:$M$126,0),0))</f>
        <v/>
      </c>
    </row>
    <row r="21" spans="2:15" x14ac:dyDescent="0.25">
      <c r="B21" s="57"/>
      <c r="C21" s="48"/>
      <c r="D21" s="54" t="str">
        <f>IF(O21="","",IF(O21=0,"—",INDEX(Catálogo!$E$5:$E$126,O21)))</f>
        <v/>
      </c>
      <c r="E21" s="53" t="str">
        <f>IF(OR(O21="",O21=0),"",IF(INDEX(Catálogo!$H$5:$H$126,O21)="","",INDEX(Catálogo!$H$5:$H$126,O21)))</f>
        <v/>
      </c>
      <c r="F21" s="57"/>
      <c r="G21" s="57"/>
      <c r="H21" s="53">
        <f t="shared" si="0"/>
        <v>0</v>
      </c>
      <c r="I21" s="58" t="str">
        <f>IF(OR(D21="",D21="—"),"",IFERROR(INDEX('Precios y Stock'!$G$5:$G$56,MATCH(D21,'Precios y Stock'!$A$5:$A$56,0)),""))</f>
        <v/>
      </c>
      <c r="J21" s="59"/>
      <c r="K21" s="58" t="str">
        <f t="shared" si="1"/>
        <v/>
      </c>
      <c r="L21" s="58">
        <f t="shared" si="2"/>
        <v>0</v>
      </c>
      <c r="M21" s="18" t="str">
        <f t="shared" si="3"/>
        <v/>
      </c>
      <c r="O21" s="49" t="str">
        <f>IF(C21="","",IFERROR(MATCH(B21&amp;"|"&amp;C21,Catálogo!$M$5:$M$126,0),0))</f>
        <v/>
      </c>
    </row>
    <row r="22" spans="2:15" x14ac:dyDescent="0.25">
      <c r="B22" s="57"/>
      <c r="C22" s="48"/>
      <c r="D22" s="54" t="str">
        <f>IF(O22="","",IF(O22=0,"—",INDEX(Catálogo!$E$5:$E$126,O22)))</f>
        <v/>
      </c>
      <c r="E22" s="53" t="str">
        <f>IF(OR(O22="",O22=0),"",IF(INDEX(Catálogo!$H$5:$H$126,O22)="","",INDEX(Catálogo!$H$5:$H$126,O22)))</f>
        <v/>
      </c>
      <c r="F22" s="57"/>
      <c r="G22" s="57"/>
      <c r="H22" s="53">
        <f t="shared" si="0"/>
        <v>0</v>
      </c>
      <c r="I22" s="58" t="str">
        <f>IF(OR(D22="",D22="—"),"",IFERROR(INDEX('Precios y Stock'!$G$5:$G$56,MATCH(D22,'Precios y Stock'!$A$5:$A$56,0)),""))</f>
        <v/>
      </c>
      <c r="J22" s="59"/>
      <c r="K22" s="58" t="str">
        <f t="shared" si="1"/>
        <v/>
      </c>
      <c r="L22" s="58">
        <f t="shared" si="2"/>
        <v>0</v>
      </c>
      <c r="M22" s="18" t="str">
        <f t="shared" si="3"/>
        <v/>
      </c>
      <c r="O22" s="49" t="str">
        <f>IF(C22="","",IFERROR(MATCH(B22&amp;"|"&amp;C22,Catálogo!$M$5:$M$126,0),0))</f>
        <v/>
      </c>
    </row>
    <row r="23" spans="2:15" x14ac:dyDescent="0.25">
      <c r="B23" s="57"/>
      <c r="C23" s="48"/>
      <c r="D23" s="54" t="str">
        <f>IF(O23="","",IF(O23=0,"—",INDEX(Catálogo!$E$5:$E$126,O23)))</f>
        <v/>
      </c>
      <c r="E23" s="53" t="str">
        <f>IF(OR(O23="",O23=0),"",IF(INDEX(Catálogo!$H$5:$H$126,O23)="","",INDEX(Catálogo!$H$5:$H$126,O23)))</f>
        <v/>
      </c>
      <c r="F23" s="57"/>
      <c r="G23" s="57"/>
      <c r="H23" s="53">
        <f t="shared" si="0"/>
        <v>0</v>
      </c>
      <c r="I23" s="58" t="str">
        <f>IF(OR(D23="",D23="—"),"",IFERROR(INDEX('Precios y Stock'!$G$5:$G$56,MATCH(D23,'Precios y Stock'!$A$5:$A$56,0)),""))</f>
        <v/>
      </c>
      <c r="J23" s="59"/>
      <c r="K23" s="58" t="str">
        <f t="shared" si="1"/>
        <v/>
      </c>
      <c r="L23" s="58">
        <f t="shared" si="2"/>
        <v>0</v>
      </c>
      <c r="M23" s="18" t="str">
        <f t="shared" si="3"/>
        <v/>
      </c>
      <c r="O23" s="49" t="str">
        <f>IF(C23="","",IFERROR(MATCH(B23&amp;"|"&amp;C23,Catálogo!$M$5:$M$126,0),0))</f>
        <v/>
      </c>
    </row>
    <row r="25" spans="2:15" ht="15" customHeight="1" x14ac:dyDescent="0.25">
      <c r="B25" s="33" t="s">
        <v>529</v>
      </c>
      <c r="J25" s="2" t="s">
        <v>530</v>
      </c>
      <c r="K25" s="2"/>
      <c r="L25" s="60">
        <f>SUM(H12:H23)</f>
        <v>8</v>
      </c>
    </row>
    <row r="26" spans="2:15" ht="15" customHeight="1" x14ac:dyDescent="0.25">
      <c r="J26" s="2" t="s">
        <v>531</v>
      </c>
      <c r="K26" s="2"/>
      <c r="L26" s="61">
        <f>SUM(L12:L23)</f>
        <v>240000</v>
      </c>
    </row>
    <row r="27" spans="2:15" x14ac:dyDescent="0.25">
      <c r="J27" s="28" t="s">
        <v>532</v>
      </c>
      <c r="K27" s="62">
        <f>IFERROR(INDEX(Parámetros!$B$10:$B$12,MATCH($C$5,Parámetros!$A$10:$A$12,0)),0)</f>
        <v>0.1</v>
      </c>
      <c r="L27" s="63">
        <f>-ROUND(L26*K27,0)</f>
        <v>-24000</v>
      </c>
    </row>
    <row r="28" spans="2:15" ht="15" customHeight="1" x14ac:dyDescent="0.25">
      <c r="J28" s="2" t="s">
        <v>533</v>
      </c>
      <c r="K28" s="2"/>
      <c r="L28" s="61">
        <f>L26+L27</f>
        <v>216000</v>
      </c>
    </row>
    <row r="29" spans="2:15" x14ac:dyDescent="0.25">
      <c r="J29" s="28"/>
      <c r="K29" s="62"/>
      <c r="L29" s="61">
        <f>ROUND(L28*K29,0)</f>
        <v>0</v>
      </c>
    </row>
    <row r="30" spans="2:15" ht="15" customHeight="1" x14ac:dyDescent="0.25">
      <c r="J30" s="1" t="s">
        <v>535</v>
      </c>
      <c r="K30" s="1"/>
      <c r="L30" s="64">
        <f>L28+L29</f>
        <v>216000</v>
      </c>
    </row>
  </sheetData>
  <mergeCells count="4">
    <mergeCell ref="J25:K25"/>
    <mergeCell ref="J26:K26"/>
    <mergeCell ref="J28:K28"/>
    <mergeCell ref="J30:K30"/>
  </mergeCells>
  <conditionalFormatting sqref="M12:M23">
    <cfRule type="expression" dxfId="7" priority="2">
      <formula>$M12="OK"</formula>
    </cfRule>
    <cfRule type="expression" dxfId="6" priority="3">
      <formula>AND($M12&lt;&gt;"",$M12&lt;&gt;"OK")</formula>
    </cfRule>
  </conditionalFormatting>
  <dataValidations count="3">
    <dataValidation type="list" sqref="C5" xr:uid="{00000000-0002-0000-0500-000000000000}">
      <formula1>"Cliente final,Taller,Mayorista"</formula1>
      <formula2>0</formula2>
    </dataValidation>
    <dataValidation type="list" allowBlank="1" sqref="B12:B23" xr:uid="{00000000-0002-0000-0500-000001000000}">
      <formula1>"Suzuki,Yamaha,Mercury,Parsun,Acuáticas"</formula1>
      <formula2>0</formula2>
    </dataValidation>
    <dataValidation type="list" allowBlank="1" sqref="C12:C23" xr:uid="{00000000-0002-0000-0500-000002000000}">
      <formula1>INDIRECT($B12)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  <pageSetUpPr fitToPage="1"/>
  </sheetPr>
  <dimension ref="A1:L61"/>
  <sheetViews>
    <sheetView tabSelected="1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H12" sqref="H12"/>
    </sheetView>
  </sheetViews>
  <sheetFormatPr baseColWidth="10" defaultColWidth="8.7109375" defaultRowHeight="15" x14ac:dyDescent="0.25"/>
  <cols>
    <col min="1" max="1" width="14" customWidth="1"/>
    <col min="2" max="2" width="11" customWidth="1"/>
    <col min="3" max="4" width="14" customWidth="1"/>
    <col min="5" max="5" width="11" customWidth="1"/>
    <col min="6" max="7" width="15" customWidth="1"/>
    <col min="8" max="8" width="13" customWidth="1"/>
    <col min="9" max="9" width="14" customWidth="1"/>
    <col min="10" max="10" width="12" customWidth="1"/>
    <col min="11" max="11" width="18" customWidth="1"/>
    <col min="12" max="12" width="13" customWidth="1"/>
  </cols>
  <sheetData>
    <row r="1" spans="1:12" ht="23.25" x14ac:dyDescent="0.35">
      <c r="A1" s="27" t="s">
        <v>536</v>
      </c>
    </row>
    <row r="2" spans="1:12" x14ac:dyDescent="0.25">
      <c r="A2" s="14" t="s">
        <v>537</v>
      </c>
    </row>
    <row r="4" spans="1:12" ht="43.5" customHeight="1" x14ac:dyDescent="0.25">
      <c r="A4" s="16" t="s">
        <v>85</v>
      </c>
      <c r="B4" s="16" t="s">
        <v>197</v>
      </c>
      <c r="C4" s="16" t="s">
        <v>538</v>
      </c>
      <c r="D4" s="16" t="s">
        <v>539</v>
      </c>
      <c r="E4" s="16" t="s">
        <v>87</v>
      </c>
      <c r="F4" s="16" t="s">
        <v>540</v>
      </c>
      <c r="G4" s="16" t="s">
        <v>541</v>
      </c>
      <c r="H4" s="16" t="s">
        <v>542</v>
      </c>
      <c r="I4" s="16" t="s">
        <v>543</v>
      </c>
      <c r="J4" s="16" t="s">
        <v>544</v>
      </c>
      <c r="K4" s="16" t="s">
        <v>545</v>
      </c>
      <c r="L4" s="16" t="s">
        <v>546</v>
      </c>
    </row>
    <row r="5" spans="1:12" x14ac:dyDescent="0.25">
      <c r="A5" s="54" t="s">
        <v>231</v>
      </c>
      <c r="B5" s="53" t="s">
        <v>547</v>
      </c>
      <c r="C5" s="53">
        <f>COUNTIF(Catálogo!$E$5:$E$126,A5)</f>
        <v>8</v>
      </c>
      <c r="D5" s="53">
        <f>COUNTIFS(Catálogo!$E$5:$E$126,A5,Catálogo!$I$5:$I$126,"Venta actual")</f>
        <v>2</v>
      </c>
      <c r="E5" s="53" t="str">
        <f>IF(C5&gt;=Parámetros!$B$15,"Alta",IF(C5&gt;=Parámetros!$B$16,"Media","Baja"))</f>
        <v>Alta</v>
      </c>
      <c r="F5" s="65">
        <v>15000</v>
      </c>
      <c r="G5" s="66">
        <f>IF(F5="","",ROUND(F5/(1-Parámetros!$B$5)/Parámetros!$B$7,0)*Parámetros!$B$7)</f>
        <v>30000</v>
      </c>
      <c r="H5" s="57"/>
      <c r="I5" s="67">
        <f>IF(E5="Alta",Parámetros!$B$19,IF(E5="Media",Parámetros!$B$20,Parámetros!$B$21))</f>
        <v>12</v>
      </c>
      <c r="J5" s="53">
        <f t="shared" ref="J5:J36" si="0">MAX(0,I5-N(H5))</f>
        <v>12</v>
      </c>
      <c r="K5" s="66">
        <f t="shared" ref="K5:K36" si="1">IF(F5="","",J5*F5)</f>
        <v>180000</v>
      </c>
      <c r="L5" s="53">
        <f>RANK(C5,$C$5:$C$56)+COUNTIF($C$5:C5,C5)-1</f>
        <v>1</v>
      </c>
    </row>
    <row r="6" spans="1:12" x14ac:dyDescent="0.25">
      <c r="A6" s="54" t="s">
        <v>307</v>
      </c>
      <c r="B6" s="53" t="s">
        <v>547</v>
      </c>
      <c r="C6" s="53">
        <f>COUNTIF(Catálogo!$E$5:$E$126,A6)</f>
        <v>8</v>
      </c>
      <c r="D6" s="53">
        <f>COUNTIFS(Catálogo!$E$5:$E$126,A6,Catálogo!$I$5:$I$126,"Venta actual")</f>
        <v>6</v>
      </c>
      <c r="E6" s="53" t="str">
        <f>IF(C6&gt;=Parámetros!$B$15,"Alta",IF(C6&gt;=Parámetros!$B$16,"Media","Baja"))</f>
        <v>Alta</v>
      </c>
      <c r="F6" s="44"/>
      <c r="G6" s="66" t="str">
        <f>IF(F6="","",ROUND(F6/(1-Parámetros!$B$5)/Parámetros!$B$7,0)*Parámetros!$B$7)</f>
        <v/>
      </c>
      <c r="H6" s="57"/>
      <c r="I6" s="67">
        <f>IF(E6="Alta",Parámetros!$B$19,IF(E6="Media",Parámetros!$B$20,Parámetros!$B$21))</f>
        <v>12</v>
      </c>
      <c r="J6" s="53">
        <f t="shared" si="0"/>
        <v>12</v>
      </c>
      <c r="K6" s="66" t="str">
        <f t="shared" si="1"/>
        <v/>
      </c>
      <c r="L6" s="53">
        <f>RANK(C6,$C$5:$C$56)+COUNTIF($C$5:C6,C6)-1</f>
        <v>2</v>
      </c>
    </row>
    <row r="7" spans="1:12" x14ac:dyDescent="0.25">
      <c r="A7" s="54" t="s">
        <v>239</v>
      </c>
      <c r="B7" s="53" t="s">
        <v>547</v>
      </c>
      <c r="C7" s="53">
        <f>COUNTIF(Catálogo!$E$5:$E$126,A7)</f>
        <v>6</v>
      </c>
      <c r="D7" s="53">
        <f>COUNTIFS(Catálogo!$E$5:$E$126,A7,Catálogo!$I$5:$I$126,"Venta actual")</f>
        <v>3</v>
      </c>
      <c r="E7" s="53" t="str">
        <f>IF(C7&gt;=Parámetros!$B$15,"Alta",IF(C7&gt;=Parámetros!$B$16,"Media","Baja"))</f>
        <v>Alta</v>
      </c>
      <c r="F7" s="44">
        <v>6500</v>
      </c>
      <c r="G7" s="66">
        <f>IF(F7="","",ROUND(F7/(1-Parámetros!$B$5)/Parámetros!$B$7,0)*Parámetros!$B$7)</f>
        <v>13000</v>
      </c>
      <c r="H7" s="57"/>
      <c r="I7" s="67">
        <f>IF(E7="Alta",Parámetros!$B$19,IF(E7="Media",Parámetros!$B$20,Parámetros!$B$21))</f>
        <v>12</v>
      </c>
      <c r="J7" s="53">
        <f t="shared" si="0"/>
        <v>12</v>
      </c>
      <c r="K7" s="66">
        <f t="shared" si="1"/>
        <v>78000</v>
      </c>
      <c r="L7" s="53">
        <f>RANK(C7,$C$5:$C$56)+COUNTIF($C$5:C7,C7)-1</f>
        <v>3</v>
      </c>
    </row>
    <row r="8" spans="1:12" x14ac:dyDescent="0.25">
      <c r="A8" s="54" t="s">
        <v>415</v>
      </c>
      <c r="B8" s="53" t="s">
        <v>547</v>
      </c>
      <c r="C8" s="53">
        <f>COUNTIF(Catálogo!$E$5:$E$126,A8)</f>
        <v>6</v>
      </c>
      <c r="D8" s="53">
        <f>COUNTIFS(Catálogo!$E$5:$E$126,A8,Catálogo!$I$5:$I$126,"Venta actual")</f>
        <v>3</v>
      </c>
      <c r="E8" s="53" t="str">
        <f>IF(C8&gt;=Parámetros!$B$15,"Alta",IF(C8&gt;=Parámetros!$B$16,"Media","Baja"))</f>
        <v>Alta</v>
      </c>
      <c r="F8" s="44"/>
      <c r="G8" s="66" t="str">
        <f>IF(F8="","",ROUND(F8/(1-Parámetros!$B$5)/Parámetros!$B$7,0)*Parámetros!$B$7)</f>
        <v/>
      </c>
      <c r="H8" s="57"/>
      <c r="I8" s="67">
        <f>IF(E8="Alta",Parámetros!$B$19,IF(E8="Media",Parámetros!$B$20,Parámetros!$B$21))</f>
        <v>12</v>
      </c>
      <c r="J8" s="53">
        <f t="shared" si="0"/>
        <v>12</v>
      </c>
      <c r="K8" s="66" t="str">
        <f t="shared" si="1"/>
        <v/>
      </c>
      <c r="L8" s="53">
        <f>RANK(C8,$C$5:$C$56)+COUNTIF($C$5:C8,C8)-1</f>
        <v>4</v>
      </c>
    </row>
    <row r="9" spans="1:12" x14ac:dyDescent="0.25">
      <c r="A9" s="54" t="s">
        <v>427</v>
      </c>
      <c r="B9" s="53" t="s">
        <v>547</v>
      </c>
      <c r="C9" s="53">
        <f>COUNTIF(Catálogo!$E$5:$E$126,A9)</f>
        <v>5</v>
      </c>
      <c r="D9" s="53">
        <f>COUNTIFS(Catálogo!$E$5:$E$126,A9,Catálogo!$I$5:$I$126,"Venta actual")</f>
        <v>5</v>
      </c>
      <c r="E9" s="53" t="str">
        <f>IF(C9&gt;=Parámetros!$B$15,"Alta",IF(C9&gt;=Parámetros!$B$16,"Media","Baja"))</f>
        <v>Alta</v>
      </c>
      <c r="F9" s="44"/>
      <c r="G9" s="66" t="str">
        <f>IF(F9="","",ROUND(F9/(1-Parámetros!$B$5)/Parámetros!$B$7,0)*Parámetros!$B$7)</f>
        <v/>
      </c>
      <c r="H9" s="57"/>
      <c r="I9" s="67">
        <f>IF(E9="Alta",Parámetros!$B$19,IF(E9="Media",Parámetros!$B$20,Parámetros!$B$21))</f>
        <v>12</v>
      </c>
      <c r="J9" s="53">
        <f t="shared" si="0"/>
        <v>12</v>
      </c>
      <c r="K9" s="66" t="str">
        <f t="shared" si="1"/>
        <v/>
      </c>
      <c r="L9" s="53">
        <f>RANK(C9,$C$5:$C$56)+COUNTIF($C$5:C9,C9)-1</f>
        <v>5</v>
      </c>
    </row>
    <row r="10" spans="1:12" x14ac:dyDescent="0.25">
      <c r="A10" s="54" t="s">
        <v>303</v>
      </c>
      <c r="B10" s="53" t="s">
        <v>547</v>
      </c>
      <c r="C10" s="53">
        <f>COUNTIF(Catálogo!$E$5:$E$126,A10)</f>
        <v>5</v>
      </c>
      <c r="D10" s="53">
        <f>COUNTIFS(Catálogo!$E$5:$E$126,A10,Catálogo!$I$5:$I$126,"Venta actual")</f>
        <v>1</v>
      </c>
      <c r="E10" s="53" t="str">
        <f>IF(C10&gt;=Parámetros!$B$15,"Alta",IF(C10&gt;=Parámetros!$B$16,"Media","Baja"))</f>
        <v>Alta</v>
      </c>
      <c r="F10" s="44">
        <v>9500</v>
      </c>
      <c r="G10" s="66">
        <f>IF(F10="","",ROUND(F10/(1-Parámetros!$B$5)/Parámetros!$B$7,0)*Parámetros!$B$7)</f>
        <v>19000</v>
      </c>
      <c r="H10" s="57"/>
      <c r="I10" s="67">
        <f>IF(E10="Alta",Parámetros!$B$19,IF(E10="Media",Parámetros!$B$20,Parámetros!$B$21))</f>
        <v>12</v>
      </c>
      <c r="J10" s="53">
        <f t="shared" si="0"/>
        <v>12</v>
      </c>
      <c r="K10" s="66">
        <f t="shared" si="1"/>
        <v>114000</v>
      </c>
      <c r="L10" s="53">
        <f>RANK(C10,$C$5:$C$56)+COUNTIF($C$5:C10,C10)-1</f>
        <v>6</v>
      </c>
    </row>
    <row r="11" spans="1:12" x14ac:dyDescent="0.25">
      <c r="A11" s="54" t="s">
        <v>206</v>
      </c>
      <c r="B11" s="53" t="s">
        <v>547</v>
      </c>
      <c r="C11" s="53">
        <f>COUNTIF(Catálogo!$E$5:$E$126,A11)</f>
        <v>5</v>
      </c>
      <c r="D11" s="53">
        <f>COUNTIFS(Catálogo!$E$5:$E$126,A11,Catálogo!$I$5:$I$126,"Venta actual")</f>
        <v>4</v>
      </c>
      <c r="E11" s="53" t="str">
        <f>IF(C11&gt;=Parámetros!$B$15,"Alta",IF(C11&gt;=Parámetros!$B$16,"Media","Baja"))</f>
        <v>Alta</v>
      </c>
      <c r="F11" s="44"/>
      <c r="G11" s="66" t="str">
        <f>IF(F11="","",ROUND(F11/(1-Parámetros!$B$5)/Parámetros!$B$7,0)*Parámetros!$B$7)</f>
        <v/>
      </c>
      <c r="H11" s="57"/>
      <c r="I11" s="67">
        <f>IF(E11="Alta",Parámetros!$B$19,IF(E11="Media",Parámetros!$B$20,Parámetros!$B$21))</f>
        <v>12</v>
      </c>
      <c r="J11" s="53">
        <f t="shared" si="0"/>
        <v>12</v>
      </c>
      <c r="K11" s="66" t="str">
        <f t="shared" si="1"/>
        <v/>
      </c>
      <c r="L11" s="53">
        <f>RANK(C11,$C$5:$C$56)+COUNTIF($C$5:C11,C11)-1</f>
        <v>7</v>
      </c>
    </row>
    <row r="12" spans="1:12" x14ac:dyDescent="0.25">
      <c r="A12" s="54" t="s">
        <v>387</v>
      </c>
      <c r="B12" s="53" t="s">
        <v>547</v>
      </c>
      <c r="C12" s="53">
        <f>COUNTIF(Catálogo!$E$5:$E$126,A12)</f>
        <v>4</v>
      </c>
      <c r="D12" s="53">
        <f>COUNTIFS(Catálogo!$E$5:$E$126,A12,Catálogo!$I$5:$I$126,"Venta actual")</f>
        <v>0</v>
      </c>
      <c r="E12" s="53" t="str">
        <f>IF(C12&gt;=Parámetros!$B$15,"Alta",IF(C12&gt;=Parámetros!$B$16,"Media","Baja"))</f>
        <v>Media</v>
      </c>
      <c r="F12" s="44"/>
      <c r="G12" s="66" t="str">
        <f>IF(F12="","",ROUND(F12/(1-Parámetros!$B$5)/Parámetros!$B$7,0)*Parámetros!$B$7)</f>
        <v/>
      </c>
      <c r="H12" s="57"/>
      <c r="I12" s="67">
        <f>IF(E12="Alta",Parámetros!$B$19,IF(E12="Media",Parámetros!$B$20,Parámetros!$B$21))</f>
        <v>8</v>
      </c>
      <c r="J12" s="53">
        <f t="shared" si="0"/>
        <v>8</v>
      </c>
      <c r="K12" s="66" t="str">
        <f t="shared" si="1"/>
        <v/>
      </c>
      <c r="L12" s="53">
        <f>RANK(C12,$C$5:$C$56)+COUNTIF($C$5:C12,C12)-1</f>
        <v>8</v>
      </c>
    </row>
    <row r="13" spans="1:12" x14ac:dyDescent="0.25">
      <c r="A13" s="54" t="s">
        <v>285</v>
      </c>
      <c r="B13" s="53" t="s">
        <v>547</v>
      </c>
      <c r="C13" s="53">
        <f>COUNTIF(Catálogo!$E$5:$E$126,A13)</f>
        <v>4</v>
      </c>
      <c r="D13" s="53">
        <f>COUNTIFS(Catálogo!$E$5:$E$126,A13,Catálogo!$I$5:$I$126,"Venta actual")</f>
        <v>1</v>
      </c>
      <c r="E13" s="53" t="str">
        <f>IF(C13&gt;=Parámetros!$B$15,"Alta",IF(C13&gt;=Parámetros!$B$16,"Media","Baja"))</f>
        <v>Media</v>
      </c>
      <c r="F13" s="44">
        <v>5200</v>
      </c>
      <c r="G13" s="66">
        <f>IF(F13="","",ROUND(F13/(1-Parámetros!$B$5)/Parámetros!$B$7,0)*Parámetros!$B$7)</f>
        <v>10400</v>
      </c>
      <c r="H13" s="57"/>
      <c r="I13" s="67">
        <f>IF(E13="Alta",Parámetros!$B$19,IF(E13="Media",Parámetros!$B$20,Parámetros!$B$21))</f>
        <v>8</v>
      </c>
      <c r="J13" s="53">
        <f t="shared" si="0"/>
        <v>8</v>
      </c>
      <c r="K13" s="66">
        <f t="shared" si="1"/>
        <v>41600</v>
      </c>
      <c r="L13" s="53">
        <f>RANK(C13,$C$5:$C$56)+COUNTIF($C$5:C13,C13)-1</f>
        <v>9</v>
      </c>
    </row>
    <row r="14" spans="1:12" x14ac:dyDescent="0.25">
      <c r="A14" s="54" t="s">
        <v>468</v>
      </c>
      <c r="B14" s="53" t="s">
        <v>547</v>
      </c>
      <c r="C14" s="53">
        <f>COUNTIF(Catálogo!$E$5:$E$126,A14)</f>
        <v>4</v>
      </c>
      <c r="D14" s="53">
        <f>COUNTIFS(Catálogo!$E$5:$E$126,A14,Catálogo!$I$5:$I$126,"Venta actual")</f>
        <v>2</v>
      </c>
      <c r="E14" s="53" t="str">
        <f>IF(C14&gt;=Parámetros!$B$15,"Alta",IF(C14&gt;=Parámetros!$B$16,"Media","Baja"))</f>
        <v>Media</v>
      </c>
      <c r="F14" s="44"/>
      <c r="G14" s="66" t="str">
        <f>IF(F14="","",ROUND(F14/(1-Parámetros!$B$5)/Parámetros!$B$7,0)*Parámetros!$B$7)</f>
        <v/>
      </c>
      <c r="H14" s="57"/>
      <c r="I14" s="67">
        <f>IF(E14="Alta",Parámetros!$B$19,IF(E14="Media",Parámetros!$B$20,Parámetros!$B$21))</f>
        <v>8</v>
      </c>
      <c r="J14" s="53">
        <f t="shared" si="0"/>
        <v>8</v>
      </c>
      <c r="K14" s="66" t="str">
        <f t="shared" si="1"/>
        <v/>
      </c>
      <c r="L14" s="53">
        <f>RANK(C14,$C$5:$C$56)+COUNTIF($C$5:C14,C14)-1</f>
        <v>10</v>
      </c>
    </row>
    <row r="15" spans="1:12" x14ac:dyDescent="0.25">
      <c r="A15" s="54" t="s">
        <v>333</v>
      </c>
      <c r="B15" s="53" t="s">
        <v>547</v>
      </c>
      <c r="C15" s="53">
        <f>COUNTIF(Catálogo!$E$5:$E$126,A15)</f>
        <v>4</v>
      </c>
      <c r="D15" s="53">
        <f>COUNTIFS(Catálogo!$E$5:$E$126,A15,Catálogo!$I$5:$I$126,"Venta actual")</f>
        <v>0</v>
      </c>
      <c r="E15" s="53" t="str">
        <f>IF(C15&gt;=Parámetros!$B$15,"Alta",IF(C15&gt;=Parámetros!$B$16,"Media","Baja"))</f>
        <v>Media</v>
      </c>
      <c r="F15" s="44">
        <v>6200</v>
      </c>
      <c r="G15" s="66">
        <f>IF(F15="","",ROUND(F15/(1-Parámetros!$B$5)/Parámetros!$B$7,0)*Parámetros!$B$7)</f>
        <v>12400</v>
      </c>
      <c r="H15" s="57"/>
      <c r="I15" s="67">
        <f>IF(E15="Alta",Parámetros!$B$19,IF(E15="Media",Parámetros!$B$20,Parámetros!$B$21))</f>
        <v>8</v>
      </c>
      <c r="J15" s="53">
        <f t="shared" si="0"/>
        <v>8</v>
      </c>
      <c r="K15" s="66">
        <f t="shared" si="1"/>
        <v>49600</v>
      </c>
      <c r="L15" s="53">
        <f>RANK(C15,$C$5:$C$56)+COUNTIF($C$5:C15,C15)-1</f>
        <v>11</v>
      </c>
    </row>
    <row r="16" spans="1:12" x14ac:dyDescent="0.25">
      <c r="A16" s="54" t="s">
        <v>292</v>
      </c>
      <c r="B16" s="53" t="s">
        <v>547</v>
      </c>
      <c r="C16" s="53">
        <f>COUNTIF(Catálogo!$E$5:$E$126,A16)</f>
        <v>4</v>
      </c>
      <c r="D16" s="53">
        <f>COUNTIFS(Catálogo!$E$5:$E$126,A16,Catálogo!$I$5:$I$126,"Venta actual")</f>
        <v>2</v>
      </c>
      <c r="E16" s="53" t="str">
        <f>IF(C16&gt;=Parámetros!$B$15,"Alta",IF(C16&gt;=Parámetros!$B$16,"Media","Baja"))</f>
        <v>Media</v>
      </c>
      <c r="F16" s="44"/>
      <c r="G16" s="66" t="str">
        <f>IF(F16="","",ROUND(F16/(1-Parámetros!$B$5)/Parámetros!$B$7,0)*Parámetros!$B$7)</f>
        <v/>
      </c>
      <c r="H16" s="57"/>
      <c r="I16" s="67">
        <f>IF(E16="Alta",Parámetros!$B$19,IF(E16="Media",Parámetros!$B$20,Parámetros!$B$21))</f>
        <v>8</v>
      </c>
      <c r="J16" s="53">
        <f t="shared" si="0"/>
        <v>8</v>
      </c>
      <c r="K16" s="66" t="str">
        <f t="shared" si="1"/>
        <v/>
      </c>
      <c r="L16" s="53">
        <f>RANK(C16,$C$5:$C$56)+COUNTIF($C$5:C16,C16)-1</f>
        <v>12</v>
      </c>
    </row>
    <row r="17" spans="1:12" x14ac:dyDescent="0.25">
      <c r="A17" s="54" t="s">
        <v>324</v>
      </c>
      <c r="B17" s="53" t="s">
        <v>547</v>
      </c>
      <c r="C17" s="53">
        <f>COUNTIF(Catálogo!$E$5:$E$126,A17)</f>
        <v>3</v>
      </c>
      <c r="D17" s="53">
        <f>COUNTIFS(Catálogo!$E$5:$E$126,A17,Catálogo!$I$5:$I$126,"Venta actual")</f>
        <v>2</v>
      </c>
      <c r="E17" s="53" t="str">
        <f>IF(C17&gt;=Parámetros!$B$15,"Alta",IF(C17&gt;=Parámetros!$B$16,"Media","Baja"))</f>
        <v>Media</v>
      </c>
      <c r="F17" s="44"/>
      <c r="G17" s="66" t="str">
        <f>IF(F17="","",ROUND(F17/(1-Parámetros!$B$5)/Parámetros!$B$7,0)*Parámetros!$B$7)</f>
        <v/>
      </c>
      <c r="H17" s="57"/>
      <c r="I17" s="67">
        <f>IF(E17="Alta",Parámetros!$B$19,IF(E17="Media",Parámetros!$B$20,Parámetros!$B$21))</f>
        <v>8</v>
      </c>
      <c r="J17" s="53">
        <f t="shared" si="0"/>
        <v>8</v>
      </c>
      <c r="K17" s="66" t="str">
        <f t="shared" si="1"/>
        <v/>
      </c>
      <c r="L17" s="53">
        <f>RANK(C17,$C$5:$C$56)+COUNTIF($C$5:C17,C17)-1</f>
        <v>13</v>
      </c>
    </row>
    <row r="18" spans="1:12" x14ac:dyDescent="0.25">
      <c r="A18" s="54" t="s">
        <v>320</v>
      </c>
      <c r="B18" s="53" t="s">
        <v>547</v>
      </c>
      <c r="C18" s="53">
        <f>COUNTIF(Catálogo!$E$5:$E$126,A18)</f>
        <v>3</v>
      </c>
      <c r="D18" s="53">
        <f>COUNTIFS(Catálogo!$E$5:$E$126,A18,Catálogo!$I$5:$I$126,"Venta actual")</f>
        <v>2</v>
      </c>
      <c r="E18" s="53" t="str">
        <f>IF(C18&gt;=Parámetros!$B$15,"Alta",IF(C18&gt;=Parámetros!$B$16,"Media","Baja"))</f>
        <v>Media</v>
      </c>
      <c r="F18" s="44">
        <v>5200</v>
      </c>
      <c r="G18" s="66">
        <f>IF(F18="","",ROUND(F18/(1-Parámetros!$B$5)/Parámetros!$B$7,0)*Parámetros!$B$7)</f>
        <v>10400</v>
      </c>
      <c r="H18" s="57"/>
      <c r="I18" s="67">
        <f>IF(E18="Alta",Parámetros!$B$19,IF(E18="Media",Parámetros!$B$20,Parámetros!$B$21))</f>
        <v>8</v>
      </c>
      <c r="J18" s="53">
        <f t="shared" si="0"/>
        <v>8</v>
      </c>
      <c r="K18" s="66">
        <f t="shared" si="1"/>
        <v>41600</v>
      </c>
      <c r="L18" s="53">
        <f>RANK(C18,$C$5:$C$56)+COUNTIF($C$5:C18,C18)-1</f>
        <v>14</v>
      </c>
    </row>
    <row r="19" spans="1:12" x14ac:dyDescent="0.25">
      <c r="A19" s="54" t="s">
        <v>254</v>
      </c>
      <c r="B19" s="53" t="s">
        <v>547</v>
      </c>
      <c r="C19" s="53">
        <f>COUNTIF(Catálogo!$E$5:$E$126,A19)</f>
        <v>3</v>
      </c>
      <c r="D19" s="53">
        <f>COUNTIFS(Catálogo!$E$5:$E$126,A19,Catálogo!$I$5:$I$126,"Venta actual")</f>
        <v>1</v>
      </c>
      <c r="E19" s="53" t="str">
        <f>IF(C19&gt;=Parámetros!$B$15,"Alta",IF(C19&gt;=Parámetros!$B$16,"Media","Baja"))</f>
        <v>Media</v>
      </c>
      <c r="F19" s="44"/>
      <c r="G19" s="66" t="str">
        <f>IF(F19="","",ROUND(F19/(1-Parámetros!$B$5)/Parámetros!$B$7,0)*Parámetros!$B$7)</f>
        <v/>
      </c>
      <c r="H19" s="57"/>
      <c r="I19" s="67">
        <f>IF(E19="Alta",Parámetros!$B$19,IF(E19="Media",Parámetros!$B$20,Parámetros!$B$21))</f>
        <v>8</v>
      </c>
      <c r="J19" s="53">
        <f t="shared" si="0"/>
        <v>8</v>
      </c>
      <c r="K19" s="66" t="str">
        <f t="shared" si="1"/>
        <v/>
      </c>
      <c r="L19" s="53">
        <f>RANK(C19,$C$5:$C$56)+COUNTIF($C$5:C19,C19)-1</f>
        <v>15</v>
      </c>
    </row>
    <row r="20" spans="1:12" x14ac:dyDescent="0.25">
      <c r="A20" s="54" t="s">
        <v>385</v>
      </c>
      <c r="B20" s="53" t="s">
        <v>547</v>
      </c>
      <c r="C20" s="53">
        <f>COUNTIF(Catálogo!$E$5:$E$126,A20)</f>
        <v>3</v>
      </c>
      <c r="D20" s="53">
        <f>COUNTIFS(Catálogo!$E$5:$E$126,A20,Catálogo!$I$5:$I$126,"Venta actual")</f>
        <v>2</v>
      </c>
      <c r="E20" s="53" t="str">
        <f>IF(C20&gt;=Parámetros!$B$15,"Alta",IF(C20&gt;=Parámetros!$B$16,"Media","Baja"))</f>
        <v>Media</v>
      </c>
      <c r="F20" s="44"/>
      <c r="G20" s="66" t="str">
        <f>IF(F20="","",ROUND(F20/(1-Parámetros!$B$5)/Parámetros!$B$7,0)*Parámetros!$B$7)</f>
        <v/>
      </c>
      <c r="H20" s="57"/>
      <c r="I20" s="67">
        <f>IF(E20="Alta",Parámetros!$B$19,IF(E20="Media",Parámetros!$B$20,Parámetros!$B$21))</f>
        <v>8</v>
      </c>
      <c r="J20" s="53">
        <f t="shared" si="0"/>
        <v>8</v>
      </c>
      <c r="K20" s="66" t="str">
        <f t="shared" si="1"/>
        <v/>
      </c>
      <c r="L20" s="53">
        <f>RANK(C20,$C$5:$C$56)+COUNTIF($C$5:C20,C20)-1</f>
        <v>16</v>
      </c>
    </row>
    <row r="21" spans="1:12" x14ac:dyDescent="0.25">
      <c r="A21" s="54" t="s">
        <v>224</v>
      </c>
      <c r="B21" s="53" t="s">
        <v>547</v>
      </c>
      <c r="C21" s="53">
        <f>COUNTIF(Catálogo!$E$5:$E$126,A21)</f>
        <v>3</v>
      </c>
      <c r="D21" s="53">
        <f>COUNTIFS(Catálogo!$E$5:$E$126,A21,Catálogo!$I$5:$I$126,"Venta actual")</f>
        <v>1</v>
      </c>
      <c r="E21" s="53" t="str">
        <f>IF(C21&gt;=Parámetros!$B$15,"Alta",IF(C21&gt;=Parámetros!$B$16,"Media","Baja"))</f>
        <v>Media</v>
      </c>
      <c r="F21" s="44"/>
      <c r="G21" s="66" t="str">
        <f>IF(F21="","",ROUND(F21/(1-Parámetros!$B$5)/Parámetros!$B$7,0)*Parámetros!$B$7)</f>
        <v/>
      </c>
      <c r="H21" s="57"/>
      <c r="I21" s="67">
        <f>IF(E21="Alta",Parámetros!$B$19,IF(E21="Media",Parámetros!$B$20,Parámetros!$B$21))</f>
        <v>8</v>
      </c>
      <c r="J21" s="53">
        <f t="shared" si="0"/>
        <v>8</v>
      </c>
      <c r="K21" s="66" t="str">
        <f t="shared" si="1"/>
        <v/>
      </c>
      <c r="L21" s="53">
        <f>RANK(C21,$C$5:$C$56)+COUNTIF($C$5:C21,C21)-1</f>
        <v>17</v>
      </c>
    </row>
    <row r="22" spans="1:12" x14ac:dyDescent="0.25">
      <c r="A22" s="54" t="s">
        <v>347</v>
      </c>
      <c r="B22" s="53" t="s">
        <v>547</v>
      </c>
      <c r="C22" s="53">
        <f>COUNTIF(Catálogo!$E$5:$E$126,A22)</f>
        <v>2</v>
      </c>
      <c r="D22" s="53">
        <f>COUNTIFS(Catálogo!$E$5:$E$126,A22,Catálogo!$I$5:$I$126,"Venta actual")</f>
        <v>0</v>
      </c>
      <c r="E22" s="53" t="str">
        <f>IF(C22&gt;=Parámetros!$B$15,"Alta",IF(C22&gt;=Parámetros!$B$16,"Media","Baja"))</f>
        <v>Baja</v>
      </c>
      <c r="F22" s="44">
        <v>5200</v>
      </c>
      <c r="G22" s="66">
        <f>IF(F22="","",ROUND(F22/(1-Parámetros!$B$5)/Parámetros!$B$7,0)*Parámetros!$B$7)</f>
        <v>10400</v>
      </c>
      <c r="H22" s="57"/>
      <c r="I22" s="67">
        <f>IF(E22="Alta",Parámetros!$B$19,IF(E22="Media",Parámetros!$B$20,Parámetros!$B$21))</f>
        <v>4</v>
      </c>
      <c r="J22" s="53">
        <f t="shared" si="0"/>
        <v>4</v>
      </c>
      <c r="K22" s="66">
        <f t="shared" si="1"/>
        <v>20800</v>
      </c>
      <c r="L22" s="53">
        <f>RANK(C22,$C$5:$C$56)+COUNTIF($C$5:C22,C22)-1</f>
        <v>18</v>
      </c>
    </row>
    <row r="23" spans="1:12" x14ac:dyDescent="0.25">
      <c r="A23" s="54" t="s">
        <v>408</v>
      </c>
      <c r="B23" s="53" t="s">
        <v>547</v>
      </c>
      <c r="C23" s="53">
        <f>COUNTIF(Catálogo!$E$5:$E$126,A23)</f>
        <v>2</v>
      </c>
      <c r="D23" s="53">
        <f>COUNTIFS(Catálogo!$E$5:$E$126,A23,Catálogo!$I$5:$I$126,"Venta actual")</f>
        <v>2</v>
      </c>
      <c r="E23" s="53" t="str">
        <f>IF(C23&gt;=Parámetros!$B$15,"Alta",IF(C23&gt;=Parámetros!$B$16,"Media","Baja"))</f>
        <v>Baja</v>
      </c>
      <c r="F23" s="44"/>
      <c r="G23" s="66" t="str">
        <f>IF(F23="","",ROUND(F23/(1-Parámetros!$B$5)/Parámetros!$B$7,0)*Parámetros!$B$7)</f>
        <v/>
      </c>
      <c r="H23" s="57"/>
      <c r="I23" s="67">
        <f>IF(E23="Alta",Parámetros!$B$19,IF(E23="Media",Parámetros!$B$20,Parámetros!$B$21))</f>
        <v>4</v>
      </c>
      <c r="J23" s="53">
        <f t="shared" si="0"/>
        <v>4</v>
      </c>
      <c r="K23" s="66" t="str">
        <f t="shared" si="1"/>
        <v/>
      </c>
      <c r="L23" s="53">
        <f>RANK(C23,$C$5:$C$56)+COUNTIF($C$5:C23,C23)-1</f>
        <v>19</v>
      </c>
    </row>
    <row r="24" spans="1:12" x14ac:dyDescent="0.25">
      <c r="A24" s="54" t="s">
        <v>250</v>
      </c>
      <c r="B24" s="53" t="s">
        <v>547</v>
      </c>
      <c r="C24" s="53">
        <f>COUNTIF(Catálogo!$E$5:$E$126,A24)</f>
        <v>2</v>
      </c>
      <c r="D24" s="53">
        <f>COUNTIFS(Catálogo!$E$5:$E$126,A24,Catálogo!$I$5:$I$126,"Venta actual")</f>
        <v>1</v>
      </c>
      <c r="E24" s="53" t="str">
        <f>IF(C24&gt;=Parámetros!$B$15,"Alta",IF(C24&gt;=Parámetros!$B$16,"Media","Baja"))</f>
        <v>Baja</v>
      </c>
      <c r="F24" s="44">
        <v>5200</v>
      </c>
      <c r="G24" s="66">
        <f>IF(F24="","",ROUND(F24/(1-Parámetros!$B$5)/Parámetros!$B$7,0)*Parámetros!$B$7)</f>
        <v>10400</v>
      </c>
      <c r="H24" s="57"/>
      <c r="I24" s="67">
        <f>IF(E24="Alta",Parámetros!$B$19,IF(E24="Media",Parámetros!$B$20,Parámetros!$B$21))</f>
        <v>4</v>
      </c>
      <c r="J24" s="53">
        <f t="shared" si="0"/>
        <v>4</v>
      </c>
      <c r="K24" s="66">
        <f t="shared" si="1"/>
        <v>20800</v>
      </c>
      <c r="L24" s="53">
        <f>RANK(C24,$C$5:$C$56)+COUNTIF($C$5:C24,C24)-1</f>
        <v>20</v>
      </c>
    </row>
    <row r="25" spans="1:12" x14ac:dyDescent="0.25">
      <c r="A25" s="54" t="s">
        <v>485</v>
      </c>
      <c r="B25" s="53" t="s">
        <v>547</v>
      </c>
      <c r="C25" s="53">
        <f>COUNTIF(Catálogo!$E$5:$E$126,A25)</f>
        <v>2</v>
      </c>
      <c r="D25" s="53">
        <f>COUNTIFS(Catálogo!$E$5:$E$126,A25,Catálogo!$I$5:$I$126,"Venta actual")</f>
        <v>0</v>
      </c>
      <c r="E25" s="53" t="str">
        <f>IF(C25&gt;=Parámetros!$B$15,"Alta",IF(C25&gt;=Parámetros!$B$16,"Media","Baja"))</f>
        <v>Baja</v>
      </c>
      <c r="F25" s="44"/>
      <c r="G25" s="66" t="str">
        <f>IF(F25="","",ROUND(F25/(1-Parámetros!$B$5)/Parámetros!$B$7,0)*Parámetros!$B$7)</f>
        <v/>
      </c>
      <c r="H25" s="57"/>
      <c r="I25" s="67">
        <f>IF(E25="Alta",Parámetros!$B$19,IF(E25="Media",Parámetros!$B$20,Parámetros!$B$21))</f>
        <v>4</v>
      </c>
      <c r="J25" s="53">
        <f t="shared" si="0"/>
        <v>4</v>
      </c>
      <c r="K25" s="66" t="str">
        <f t="shared" si="1"/>
        <v/>
      </c>
      <c r="L25" s="53">
        <f>RANK(C25,$C$5:$C$56)+COUNTIF($C$5:C25,C25)-1</f>
        <v>21</v>
      </c>
    </row>
    <row r="26" spans="1:12" x14ac:dyDescent="0.25">
      <c r="A26" s="54" t="s">
        <v>283</v>
      </c>
      <c r="B26" s="53" t="s">
        <v>547</v>
      </c>
      <c r="C26" s="53">
        <f>COUNTIF(Catálogo!$E$5:$E$126,A26)</f>
        <v>2</v>
      </c>
      <c r="D26" s="53">
        <f>COUNTIFS(Catálogo!$E$5:$E$126,A26,Catálogo!$I$5:$I$126,"Venta actual")</f>
        <v>0</v>
      </c>
      <c r="E26" s="53" t="str">
        <f>IF(C26&gt;=Parámetros!$B$15,"Alta",IF(C26&gt;=Parámetros!$B$16,"Media","Baja"))</f>
        <v>Baja</v>
      </c>
      <c r="F26" s="44"/>
      <c r="G26" s="66" t="str">
        <f>IF(F26="","",ROUND(F26/(1-Parámetros!$B$5)/Parámetros!$B$7,0)*Parámetros!$B$7)</f>
        <v/>
      </c>
      <c r="H26" s="57"/>
      <c r="I26" s="67">
        <f>IF(E26="Alta",Parámetros!$B$19,IF(E26="Media",Parámetros!$B$20,Parámetros!$B$21))</f>
        <v>4</v>
      </c>
      <c r="J26" s="53">
        <f t="shared" si="0"/>
        <v>4</v>
      </c>
      <c r="K26" s="66" t="str">
        <f t="shared" si="1"/>
        <v/>
      </c>
      <c r="L26" s="53">
        <f>RANK(C26,$C$5:$C$56)+COUNTIF($C$5:C26,C26)-1</f>
        <v>22</v>
      </c>
    </row>
    <row r="27" spans="1:12" x14ac:dyDescent="0.25">
      <c r="A27" s="54" t="s">
        <v>219</v>
      </c>
      <c r="B27" s="53" t="s">
        <v>547</v>
      </c>
      <c r="C27" s="53">
        <f>COUNTIF(Catálogo!$E$5:$E$126,A27)</f>
        <v>2</v>
      </c>
      <c r="D27" s="53">
        <f>COUNTIFS(Catálogo!$E$5:$E$126,A27,Catálogo!$I$5:$I$126,"Venta actual")</f>
        <v>1</v>
      </c>
      <c r="E27" s="53" t="str">
        <f>IF(C27&gt;=Parámetros!$B$15,"Alta",IF(C27&gt;=Parámetros!$B$16,"Media","Baja"))</f>
        <v>Baja</v>
      </c>
      <c r="F27" s="44"/>
      <c r="G27" s="66" t="str">
        <f>IF(F27="","",ROUND(F27/(1-Parámetros!$B$5)/Parámetros!$B$7,0)*Parámetros!$B$7)</f>
        <v/>
      </c>
      <c r="H27" s="57"/>
      <c r="I27" s="67">
        <f>IF(E27="Alta",Parámetros!$B$19,IF(E27="Media",Parámetros!$B$20,Parámetros!$B$21))</f>
        <v>4</v>
      </c>
      <c r="J27" s="53">
        <f t="shared" si="0"/>
        <v>4</v>
      </c>
      <c r="K27" s="66" t="str">
        <f t="shared" si="1"/>
        <v/>
      </c>
      <c r="L27" s="53">
        <f>RANK(C27,$C$5:$C$56)+COUNTIF($C$5:C27,C27)-1</f>
        <v>23</v>
      </c>
    </row>
    <row r="28" spans="1:12" x14ac:dyDescent="0.25">
      <c r="A28" s="54" t="s">
        <v>493</v>
      </c>
      <c r="B28" s="53" t="s">
        <v>547</v>
      </c>
      <c r="C28" s="53">
        <f>COUNTIF(Catálogo!$E$5:$E$126,A28)</f>
        <v>2</v>
      </c>
      <c r="D28" s="53">
        <f>COUNTIFS(Catálogo!$E$5:$E$126,A28,Catálogo!$I$5:$I$126,"Venta actual")</f>
        <v>0</v>
      </c>
      <c r="E28" s="53" t="str">
        <f>IF(C28&gt;=Parámetros!$B$15,"Alta",IF(C28&gt;=Parámetros!$B$16,"Media","Baja"))</f>
        <v>Baja</v>
      </c>
      <c r="F28" s="44">
        <v>11500</v>
      </c>
      <c r="G28" s="66">
        <f>IF(F28="","",ROUND(F28/(1-Parámetros!$B$5)/Parámetros!$B$7,0)*Parámetros!$B$7)</f>
        <v>23000</v>
      </c>
      <c r="H28" s="57"/>
      <c r="I28" s="67">
        <f>IF(E28="Alta",Parámetros!$B$19,IF(E28="Media",Parámetros!$B$20,Parámetros!$B$21))</f>
        <v>4</v>
      </c>
      <c r="J28" s="53">
        <f t="shared" si="0"/>
        <v>4</v>
      </c>
      <c r="K28" s="66">
        <f t="shared" si="1"/>
        <v>46000</v>
      </c>
      <c r="L28" s="53">
        <f>RANK(C28,$C$5:$C$56)+COUNTIF($C$5:C28,C28)-1</f>
        <v>24</v>
      </c>
    </row>
    <row r="29" spans="1:12" x14ac:dyDescent="0.25">
      <c r="A29" s="54" t="s">
        <v>475</v>
      </c>
      <c r="B29" s="53" t="s">
        <v>547</v>
      </c>
      <c r="C29" s="53">
        <f>COUNTIF(Catálogo!$E$5:$E$126,A29)</f>
        <v>2</v>
      </c>
      <c r="D29" s="53">
        <f>COUNTIFS(Catálogo!$E$5:$E$126,A29,Catálogo!$I$5:$I$126,"Venta actual")</f>
        <v>2</v>
      </c>
      <c r="E29" s="53" t="str">
        <f>IF(C29&gt;=Parámetros!$B$15,"Alta",IF(C29&gt;=Parámetros!$B$16,"Media","Baja"))</f>
        <v>Baja</v>
      </c>
      <c r="F29" s="44"/>
      <c r="G29" s="66" t="str">
        <f>IF(F29="","",ROUND(F29/(1-Parámetros!$B$5)/Parámetros!$B$7,0)*Parámetros!$B$7)</f>
        <v/>
      </c>
      <c r="H29" s="57"/>
      <c r="I29" s="67">
        <f>IF(E29="Alta",Parámetros!$B$19,IF(E29="Media",Parámetros!$B$20,Parámetros!$B$21))</f>
        <v>4</v>
      </c>
      <c r="J29" s="53">
        <f t="shared" si="0"/>
        <v>4</v>
      </c>
      <c r="K29" s="66" t="str">
        <f t="shared" si="1"/>
        <v/>
      </c>
      <c r="L29" s="53">
        <f>RANK(C29,$C$5:$C$56)+COUNTIF($C$5:C29,C29)-1</f>
        <v>25</v>
      </c>
    </row>
    <row r="30" spans="1:12" x14ac:dyDescent="0.25">
      <c r="A30" s="54" t="s">
        <v>370</v>
      </c>
      <c r="B30" s="53" t="s">
        <v>547</v>
      </c>
      <c r="C30" s="53">
        <f>COUNTIF(Catálogo!$E$5:$E$126,A30)</f>
        <v>2</v>
      </c>
      <c r="D30" s="53">
        <f>COUNTIFS(Catálogo!$E$5:$E$126,A30,Catálogo!$I$5:$I$126,"Venta actual")</f>
        <v>0</v>
      </c>
      <c r="E30" s="53" t="str">
        <f>IF(C30&gt;=Parámetros!$B$15,"Alta",IF(C30&gt;=Parámetros!$B$16,"Media","Baja"))</f>
        <v>Baja</v>
      </c>
      <c r="F30" s="44"/>
      <c r="G30" s="66" t="str">
        <f>IF(F30="","",ROUND(F30/(1-Parámetros!$B$5)/Parámetros!$B$7,0)*Parámetros!$B$7)</f>
        <v/>
      </c>
      <c r="H30" s="57"/>
      <c r="I30" s="67">
        <f>IF(E30="Alta",Parámetros!$B$19,IF(E30="Media",Parámetros!$B$20,Parámetros!$B$21))</f>
        <v>4</v>
      </c>
      <c r="J30" s="53">
        <f t="shared" si="0"/>
        <v>4</v>
      </c>
      <c r="K30" s="66" t="str">
        <f t="shared" si="1"/>
        <v/>
      </c>
      <c r="L30" s="53">
        <f>RANK(C30,$C$5:$C$56)+COUNTIF($C$5:C30,C30)-1</f>
        <v>26</v>
      </c>
    </row>
    <row r="31" spans="1:12" x14ac:dyDescent="0.25">
      <c r="A31" s="54" t="s">
        <v>277</v>
      </c>
      <c r="B31" s="53" t="s">
        <v>547</v>
      </c>
      <c r="C31" s="53">
        <f>COUNTIF(Catálogo!$E$5:$E$126,A31)</f>
        <v>1</v>
      </c>
      <c r="D31" s="53">
        <f>COUNTIFS(Catálogo!$E$5:$E$126,A31,Catálogo!$I$5:$I$126,"Venta actual")</f>
        <v>0</v>
      </c>
      <c r="E31" s="53" t="str">
        <f>IF(C31&gt;=Parámetros!$B$15,"Alta",IF(C31&gt;=Parámetros!$B$16,"Media","Baja"))</f>
        <v>Baja</v>
      </c>
      <c r="F31" s="44"/>
      <c r="G31" s="66" t="str">
        <f>IF(F31="","",ROUND(F31/(1-Parámetros!$B$5)/Parámetros!$B$7,0)*Parámetros!$B$7)</f>
        <v/>
      </c>
      <c r="H31" s="57"/>
      <c r="I31" s="67">
        <f>IF(E31="Alta",Parámetros!$B$19,IF(E31="Media",Parámetros!$B$20,Parámetros!$B$21))</f>
        <v>4</v>
      </c>
      <c r="J31" s="53">
        <f t="shared" si="0"/>
        <v>4</v>
      </c>
      <c r="K31" s="66" t="str">
        <f t="shared" si="1"/>
        <v/>
      </c>
      <c r="L31" s="53">
        <f>RANK(C31,$C$5:$C$56)+COUNTIF($C$5:C31,C31)-1</f>
        <v>27</v>
      </c>
    </row>
    <row r="32" spans="1:12" x14ac:dyDescent="0.25">
      <c r="A32" s="54" t="s">
        <v>382</v>
      </c>
      <c r="B32" s="53" t="s">
        <v>547</v>
      </c>
      <c r="C32" s="53">
        <f>COUNTIF(Catálogo!$E$5:$E$126,A32)</f>
        <v>1</v>
      </c>
      <c r="D32" s="53">
        <f>COUNTIFS(Catálogo!$E$5:$E$126,A32,Catálogo!$I$5:$I$126,"Venta actual")</f>
        <v>0</v>
      </c>
      <c r="E32" s="53" t="str">
        <f>IF(C32&gt;=Parámetros!$B$15,"Alta",IF(C32&gt;=Parámetros!$B$16,"Media","Baja"))</f>
        <v>Baja</v>
      </c>
      <c r="F32" s="44"/>
      <c r="G32" s="66" t="str">
        <f>IF(F32="","",ROUND(F32/(1-Parámetros!$B$5)/Parámetros!$B$7,0)*Parámetros!$B$7)</f>
        <v/>
      </c>
      <c r="H32" s="57"/>
      <c r="I32" s="67">
        <f>IF(E32="Alta",Parámetros!$B$19,IF(E32="Media",Parámetros!$B$20,Parámetros!$B$21))</f>
        <v>4</v>
      </c>
      <c r="J32" s="53">
        <f t="shared" si="0"/>
        <v>4</v>
      </c>
      <c r="K32" s="66" t="str">
        <f t="shared" si="1"/>
        <v/>
      </c>
      <c r="L32" s="53">
        <f>RANK(C32,$C$5:$C$56)+COUNTIF($C$5:C32,C32)-1</f>
        <v>28</v>
      </c>
    </row>
    <row r="33" spans="1:12" x14ac:dyDescent="0.25">
      <c r="A33" s="54" t="s">
        <v>395</v>
      </c>
      <c r="B33" s="53" t="s">
        <v>547</v>
      </c>
      <c r="C33" s="53">
        <f>COUNTIF(Catálogo!$E$5:$E$126,A33)</f>
        <v>1</v>
      </c>
      <c r="D33" s="53">
        <f>COUNTIFS(Catálogo!$E$5:$E$126,A33,Catálogo!$I$5:$I$126,"Venta actual")</f>
        <v>0</v>
      </c>
      <c r="E33" s="53" t="str">
        <f>IF(C33&gt;=Parámetros!$B$15,"Alta",IF(C33&gt;=Parámetros!$B$16,"Media","Baja"))</f>
        <v>Baja</v>
      </c>
      <c r="F33" s="44"/>
      <c r="G33" s="66" t="str">
        <f>IF(F33="","",ROUND(F33/(1-Parámetros!$B$5)/Parámetros!$B$7,0)*Parámetros!$B$7)</f>
        <v/>
      </c>
      <c r="H33" s="57"/>
      <c r="I33" s="67">
        <f>IF(E33="Alta",Parámetros!$B$19,IF(E33="Media",Parámetros!$B$20,Parámetros!$B$21))</f>
        <v>4</v>
      </c>
      <c r="J33" s="53">
        <f t="shared" si="0"/>
        <v>4</v>
      </c>
      <c r="K33" s="66" t="str">
        <f t="shared" si="1"/>
        <v/>
      </c>
      <c r="L33" s="53">
        <f>RANK(C33,$C$5:$C$56)+COUNTIF($C$5:C33,C33)-1</f>
        <v>29</v>
      </c>
    </row>
    <row r="34" spans="1:12" x14ac:dyDescent="0.25">
      <c r="A34" s="54" t="s">
        <v>389</v>
      </c>
      <c r="B34" s="53" t="s">
        <v>547</v>
      </c>
      <c r="C34" s="53">
        <f>COUNTIF(Catálogo!$E$5:$E$126,A34)</f>
        <v>1</v>
      </c>
      <c r="D34" s="53">
        <f>COUNTIFS(Catálogo!$E$5:$E$126,A34,Catálogo!$I$5:$I$126,"Venta actual")</f>
        <v>0</v>
      </c>
      <c r="E34" s="53" t="str">
        <f>IF(C34&gt;=Parámetros!$B$15,"Alta",IF(C34&gt;=Parámetros!$B$16,"Media","Baja"))</f>
        <v>Baja</v>
      </c>
      <c r="F34" s="44"/>
      <c r="G34" s="66" t="str">
        <f>IF(F34="","",ROUND(F34/(1-Parámetros!$B$5)/Parámetros!$B$7,0)*Parámetros!$B$7)</f>
        <v/>
      </c>
      <c r="H34" s="57"/>
      <c r="I34" s="67">
        <f>IF(E34="Alta",Parámetros!$B$19,IF(E34="Media",Parámetros!$B$20,Parámetros!$B$21))</f>
        <v>4</v>
      </c>
      <c r="J34" s="53">
        <f t="shared" si="0"/>
        <v>4</v>
      </c>
      <c r="K34" s="66" t="str">
        <f t="shared" si="1"/>
        <v/>
      </c>
      <c r="L34" s="53">
        <f>RANK(C34,$C$5:$C$56)+COUNTIF($C$5:C34,C34)-1</f>
        <v>30</v>
      </c>
    </row>
    <row r="35" spans="1:12" x14ac:dyDescent="0.25">
      <c r="A35" s="54" t="s">
        <v>273</v>
      </c>
      <c r="B35" s="53" t="s">
        <v>547</v>
      </c>
      <c r="C35" s="53">
        <f>COUNTIF(Catálogo!$E$5:$E$126,A35)</f>
        <v>1</v>
      </c>
      <c r="D35" s="53">
        <f>COUNTIFS(Catálogo!$E$5:$E$126,A35,Catálogo!$I$5:$I$126,"Venta actual")</f>
        <v>0</v>
      </c>
      <c r="E35" s="53" t="str">
        <f>IF(C35&gt;=Parámetros!$B$15,"Alta",IF(C35&gt;=Parámetros!$B$16,"Media","Baja"))</f>
        <v>Baja</v>
      </c>
      <c r="F35" s="44"/>
      <c r="G35" s="66" t="str">
        <f>IF(F35="","",ROUND(F35/(1-Parámetros!$B$5)/Parámetros!$B$7,0)*Parámetros!$B$7)</f>
        <v/>
      </c>
      <c r="H35" s="57"/>
      <c r="I35" s="67">
        <f>IF(E35="Alta",Parámetros!$B$19,IF(E35="Media",Parámetros!$B$20,Parámetros!$B$21))</f>
        <v>4</v>
      </c>
      <c r="J35" s="53">
        <f t="shared" si="0"/>
        <v>4</v>
      </c>
      <c r="K35" s="66" t="str">
        <f t="shared" si="1"/>
        <v/>
      </c>
      <c r="L35" s="53">
        <f>RANK(C35,$C$5:$C$56)+COUNTIF($C$5:C35,C35)-1</f>
        <v>31</v>
      </c>
    </row>
    <row r="36" spans="1:12" x14ac:dyDescent="0.25">
      <c r="A36" s="54" t="s">
        <v>280</v>
      </c>
      <c r="B36" s="53" t="s">
        <v>547</v>
      </c>
      <c r="C36" s="53">
        <f>COUNTIF(Catálogo!$E$5:$E$126,A36)</f>
        <v>1</v>
      </c>
      <c r="D36" s="53">
        <f>COUNTIFS(Catálogo!$E$5:$E$126,A36,Catálogo!$I$5:$I$126,"Venta actual")</f>
        <v>0</v>
      </c>
      <c r="E36" s="53" t="str">
        <f>IF(C36&gt;=Parámetros!$B$15,"Alta",IF(C36&gt;=Parámetros!$B$16,"Media","Baja"))</f>
        <v>Baja</v>
      </c>
      <c r="F36" s="44"/>
      <c r="G36" s="66" t="str">
        <f>IF(F36="","",ROUND(F36/(1-Parámetros!$B$5)/Parámetros!$B$7,0)*Parámetros!$B$7)</f>
        <v/>
      </c>
      <c r="H36" s="57"/>
      <c r="I36" s="67">
        <f>IF(E36="Alta",Parámetros!$B$19,IF(E36="Media",Parámetros!$B$20,Parámetros!$B$21))</f>
        <v>4</v>
      </c>
      <c r="J36" s="53">
        <f t="shared" si="0"/>
        <v>4</v>
      </c>
      <c r="K36" s="66" t="str">
        <f t="shared" si="1"/>
        <v/>
      </c>
      <c r="L36" s="53">
        <f>RANK(C36,$C$5:$C$56)+COUNTIF($C$5:C36,C36)-1</f>
        <v>32</v>
      </c>
    </row>
    <row r="37" spans="1:12" x14ac:dyDescent="0.25">
      <c r="A37" s="54" t="s">
        <v>507</v>
      </c>
      <c r="B37" s="53" t="s">
        <v>547</v>
      </c>
      <c r="C37" s="53">
        <f>COUNTIF(Catálogo!$E$5:$E$126,A37)</f>
        <v>1</v>
      </c>
      <c r="D37" s="53">
        <f>COUNTIFS(Catálogo!$E$5:$E$126,A37,Catálogo!$I$5:$I$126,"Venta actual")</f>
        <v>0</v>
      </c>
      <c r="E37" s="53" t="str">
        <f>IF(C37&gt;=Parámetros!$B$15,"Alta",IF(C37&gt;=Parámetros!$B$16,"Media","Baja"))</f>
        <v>Baja</v>
      </c>
      <c r="F37" s="44"/>
      <c r="G37" s="66" t="str">
        <f>IF(F37="","",ROUND(F37/(1-Parámetros!$B$5)/Parámetros!$B$7,0)*Parámetros!$B$7)</f>
        <v/>
      </c>
      <c r="H37" s="57"/>
      <c r="I37" s="67">
        <f>IF(E37="Alta",Parámetros!$B$19,IF(E37="Media",Parámetros!$B$20,Parámetros!$B$21))</f>
        <v>4</v>
      </c>
      <c r="J37" s="53">
        <f t="shared" ref="J37:J68" si="2">MAX(0,I37-N(H37))</f>
        <v>4</v>
      </c>
      <c r="K37" s="66" t="str">
        <f t="shared" ref="K37:K68" si="3">IF(F37="","",J37*F37)</f>
        <v/>
      </c>
      <c r="L37" s="53">
        <f>RANK(C37,$C$5:$C$56)+COUNTIF($C$5:C37,C37)-1</f>
        <v>33</v>
      </c>
    </row>
    <row r="38" spans="1:12" x14ac:dyDescent="0.25">
      <c r="A38" s="54" t="s">
        <v>404</v>
      </c>
      <c r="B38" s="53" t="s">
        <v>547</v>
      </c>
      <c r="C38" s="53">
        <f>COUNTIF(Catálogo!$E$5:$E$126,A38)</f>
        <v>1</v>
      </c>
      <c r="D38" s="53">
        <f>COUNTIFS(Catálogo!$E$5:$E$126,A38,Catálogo!$I$5:$I$126,"Venta actual")</f>
        <v>0</v>
      </c>
      <c r="E38" s="53" t="str">
        <f>IF(C38&gt;=Parámetros!$B$15,"Alta",IF(C38&gt;=Parámetros!$B$16,"Media","Baja"))</f>
        <v>Baja</v>
      </c>
      <c r="F38" s="44"/>
      <c r="G38" s="66" t="str">
        <f>IF(F38="","",ROUND(F38/(1-Parámetros!$B$5)/Parámetros!$B$7,0)*Parámetros!$B$7)</f>
        <v/>
      </c>
      <c r="H38" s="57"/>
      <c r="I38" s="67">
        <f>IF(E38="Alta",Parámetros!$B$19,IF(E38="Media",Parámetros!$B$20,Parámetros!$B$21))</f>
        <v>4</v>
      </c>
      <c r="J38" s="53">
        <f t="shared" si="2"/>
        <v>4</v>
      </c>
      <c r="K38" s="66" t="str">
        <f t="shared" si="3"/>
        <v/>
      </c>
      <c r="L38" s="53">
        <f>RANK(C38,$C$5:$C$56)+COUNTIF($C$5:C38,C38)-1</f>
        <v>34</v>
      </c>
    </row>
    <row r="39" spans="1:12" x14ac:dyDescent="0.25">
      <c r="A39" s="54" t="s">
        <v>259</v>
      </c>
      <c r="B39" s="53" t="s">
        <v>547</v>
      </c>
      <c r="C39" s="53">
        <f>COUNTIF(Catálogo!$E$5:$E$126,A39)</f>
        <v>1</v>
      </c>
      <c r="D39" s="53">
        <f>COUNTIFS(Catálogo!$E$5:$E$126,A39,Catálogo!$I$5:$I$126,"Venta actual")</f>
        <v>0</v>
      </c>
      <c r="E39" s="53" t="str">
        <f>IF(C39&gt;=Parámetros!$B$15,"Alta",IF(C39&gt;=Parámetros!$B$16,"Media","Baja"))</f>
        <v>Baja</v>
      </c>
      <c r="F39" s="44"/>
      <c r="G39" s="66" t="str">
        <f>IF(F39="","",ROUND(F39/(1-Parámetros!$B$5)/Parámetros!$B$7,0)*Parámetros!$B$7)</f>
        <v/>
      </c>
      <c r="H39" s="57"/>
      <c r="I39" s="67">
        <f>IF(E39="Alta",Parámetros!$B$19,IF(E39="Media",Parámetros!$B$20,Parámetros!$B$21))</f>
        <v>4</v>
      </c>
      <c r="J39" s="53">
        <f t="shared" si="2"/>
        <v>4</v>
      </c>
      <c r="K39" s="66" t="str">
        <f t="shared" si="3"/>
        <v/>
      </c>
      <c r="L39" s="53">
        <f>RANK(C39,$C$5:$C$56)+COUNTIF($C$5:C39,C39)-1</f>
        <v>35</v>
      </c>
    </row>
    <row r="40" spans="1:12" x14ac:dyDescent="0.25">
      <c r="A40" s="54" t="s">
        <v>289</v>
      </c>
      <c r="B40" s="53" t="s">
        <v>547</v>
      </c>
      <c r="C40" s="53">
        <f>COUNTIF(Catálogo!$E$5:$E$126,A40)</f>
        <v>1</v>
      </c>
      <c r="D40" s="53">
        <f>COUNTIFS(Catálogo!$E$5:$E$126,A40,Catálogo!$I$5:$I$126,"Venta actual")</f>
        <v>1</v>
      </c>
      <c r="E40" s="53" t="str">
        <f>IF(C40&gt;=Parámetros!$B$15,"Alta",IF(C40&gt;=Parámetros!$B$16,"Media","Baja"))</f>
        <v>Baja</v>
      </c>
      <c r="F40" s="44"/>
      <c r="G40" s="66" t="str">
        <f>IF(F40="","",ROUND(F40/(1-Parámetros!$B$5)/Parámetros!$B$7,0)*Parámetros!$B$7)</f>
        <v/>
      </c>
      <c r="H40" s="57"/>
      <c r="I40" s="67">
        <f>IF(E40="Alta",Parámetros!$B$19,IF(E40="Media",Parámetros!$B$20,Parámetros!$B$21))</f>
        <v>4</v>
      </c>
      <c r="J40" s="53">
        <f t="shared" si="2"/>
        <v>4</v>
      </c>
      <c r="K40" s="66" t="str">
        <f t="shared" si="3"/>
        <v/>
      </c>
      <c r="L40" s="53">
        <f>RANK(C40,$C$5:$C$56)+COUNTIF($C$5:C40,C40)-1</f>
        <v>36</v>
      </c>
    </row>
    <row r="41" spans="1:12" x14ac:dyDescent="0.25">
      <c r="A41" s="54" t="s">
        <v>463</v>
      </c>
      <c r="B41" s="53" t="s">
        <v>547</v>
      </c>
      <c r="C41" s="53">
        <f>COUNTIF(Catálogo!$E$5:$E$126,A41)</f>
        <v>1</v>
      </c>
      <c r="D41" s="53">
        <f>COUNTIFS(Catálogo!$E$5:$E$126,A41,Catálogo!$I$5:$I$126,"Venta actual")</f>
        <v>1</v>
      </c>
      <c r="E41" s="53" t="str">
        <f>IF(C41&gt;=Parámetros!$B$15,"Alta",IF(C41&gt;=Parámetros!$B$16,"Media","Baja"))</f>
        <v>Baja</v>
      </c>
      <c r="F41" s="44"/>
      <c r="G41" s="66" t="str">
        <f>IF(F41="","",ROUND(F41/(1-Parámetros!$B$5)/Parámetros!$B$7,0)*Parámetros!$B$7)</f>
        <v/>
      </c>
      <c r="H41" s="57"/>
      <c r="I41" s="67">
        <f>IF(E41="Alta",Parámetros!$B$19,IF(E41="Media",Parámetros!$B$20,Parámetros!$B$21))</f>
        <v>4</v>
      </c>
      <c r="J41" s="53">
        <f t="shared" si="2"/>
        <v>4</v>
      </c>
      <c r="K41" s="66" t="str">
        <f t="shared" si="3"/>
        <v/>
      </c>
      <c r="L41" s="53">
        <f>RANK(C41,$C$5:$C$56)+COUNTIF($C$5:C41,C41)-1</f>
        <v>37</v>
      </c>
    </row>
    <row r="42" spans="1:12" x14ac:dyDescent="0.25">
      <c r="A42" s="54" t="s">
        <v>509</v>
      </c>
      <c r="B42" s="53" t="s">
        <v>547</v>
      </c>
      <c r="C42" s="53">
        <f>COUNTIF(Catálogo!$E$5:$E$126,A42)</f>
        <v>1</v>
      </c>
      <c r="D42" s="53">
        <f>COUNTIFS(Catálogo!$E$5:$E$126,A42,Catálogo!$I$5:$I$126,"Venta actual")</f>
        <v>0</v>
      </c>
      <c r="E42" s="53" t="str">
        <f>IF(C42&gt;=Parámetros!$B$15,"Alta",IF(C42&gt;=Parámetros!$B$16,"Media","Baja"))</f>
        <v>Baja</v>
      </c>
      <c r="F42" s="44"/>
      <c r="G42" s="66" t="str">
        <f>IF(F42="","",ROUND(F42/(1-Parámetros!$B$5)/Parámetros!$B$7,0)*Parámetros!$B$7)</f>
        <v/>
      </c>
      <c r="H42" s="57"/>
      <c r="I42" s="67">
        <f>IF(E42="Alta",Parámetros!$B$19,IF(E42="Media",Parámetros!$B$20,Parámetros!$B$21))</f>
        <v>4</v>
      </c>
      <c r="J42" s="53">
        <f t="shared" si="2"/>
        <v>4</v>
      </c>
      <c r="K42" s="66" t="str">
        <f t="shared" si="3"/>
        <v/>
      </c>
      <c r="L42" s="53">
        <f>RANK(C42,$C$5:$C$56)+COUNTIF($C$5:C42,C42)-1</f>
        <v>38</v>
      </c>
    </row>
    <row r="43" spans="1:12" x14ac:dyDescent="0.25">
      <c r="A43" s="54" t="s">
        <v>361</v>
      </c>
      <c r="B43" s="53" t="s">
        <v>547</v>
      </c>
      <c r="C43" s="53">
        <f>COUNTIF(Catálogo!$E$5:$E$126,A43)</f>
        <v>1</v>
      </c>
      <c r="D43" s="53">
        <f>COUNTIFS(Catálogo!$E$5:$E$126,A43,Catálogo!$I$5:$I$126,"Venta actual")</f>
        <v>0</v>
      </c>
      <c r="E43" s="53" t="str">
        <f>IF(C43&gt;=Parámetros!$B$15,"Alta",IF(C43&gt;=Parámetros!$B$16,"Media","Baja"))</f>
        <v>Baja</v>
      </c>
      <c r="F43" s="44"/>
      <c r="G43" s="66" t="str">
        <f>IF(F43="","",ROUND(F43/(1-Parámetros!$B$5)/Parámetros!$B$7,0)*Parámetros!$B$7)</f>
        <v/>
      </c>
      <c r="H43" s="57"/>
      <c r="I43" s="67">
        <f>IF(E43="Alta",Parámetros!$B$19,IF(E43="Media",Parámetros!$B$20,Parámetros!$B$21))</f>
        <v>4</v>
      </c>
      <c r="J43" s="53">
        <f t="shared" si="2"/>
        <v>4</v>
      </c>
      <c r="K43" s="66" t="str">
        <f t="shared" si="3"/>
        <v/>
      </c>
      <c r="L43" s="53">
        <f>RANK(C43,$C$5:$C$56)+COUNTIF($C$5:C43,C43)-1</f>
        <v>39</v>
      </c>
    </row>
    <row r="44" spans="1:12" x14ac:dyDescent="0.25">
      <c r="A44" s="54" t="s">
        <v>379</v>
      </c>
      <c r="B44" s="53" t="s">
        <v>317</v>
      </c>
      <c r="C44" s="53">
        <f>COUNTIF(Catálogo!$E$5:$E$126,A44)</f>
        <v>1</v>
      </c>
      <c r="D44" s="53">
        <f>COUNTIFS(Catálogo!$E$5:$E$126,A44,Catálogo!$I$5:$I$126,"Venta actual")</f>
        <v>0</v>
      </c>
      <c r="E44" s="53" t="str">
        <f>IF(C44&gt;=Parámetros!$B$15,"Alta",IF(C44&gt;=Parámetros!$B$16,"Media","Baja"))</f>
        <v>Baja</v>
      </c>
      <c r="F44" s="44"/>
      <c r="G44" s="66" t="str">
        <f>IF(F44="","",ROUND(F44/(1-Parámetros!$B$5)/Parámetros!$B$7,0)*Parámetros!$B$7)</f>
        <v/>
      </c>
      <c r="H44" s="57"/>
      <c r="I44" s="67">
        <f>IF(E44="Alta",Parámetros!$B$19,IF(E44="Media",Parámetros!$B$20,Parámetros!$B$21))</f>
        <v>4</v>
      </c>
      <c r="J44" s="53">
        <f t="shared" si="2"/>
        <v>4</v>
      </c>
      <c r="K44" s="66" t="str">
        <f t="shared" si="3"/>
        <v/>
      </c>
      <c r="L44" s="53">
        <f>RANK(C44,$C$5:$C$56)+COUNTIF($C$5:C44,C44)-1</f>
        <v>40</v>
      </c>
    </row>
    <row r="45" spans="1:12" x14ac:dyDescent="0.25">
      <c r="A45" s="54" t="s">
        <v>316</v>
      </c>
      <c r="B45" s="53" t="s">
        <v>317</v>
      </c>
      <c r="C45" s="53">
        <f>COUNTIF(Catálogo!$E$5:$E$126,A45)</f>
        <v>1</v>
      </c>
      <c r="D45" s="53">
        <f>COUNTIFS(Catálogo!$E$5:$E$126,A45,Catálogo!$I$5:$I$126,"Venta actual")</f>
        <v>1</v>
      </c>
      <c r="E45" s="53" t="str">
        <f>IF(C45&gt;=Parámetros!$B$15,"Alta",IF(C45&gt;=Parámetros!$B$16,"Media","Baja"))</f>
        <v>Baja</v>
      </c>
      <c r="F45" s="44"/>
      <c r="G45" s="66" t="str">
        <f>IF(F45="","",ROUND(F45/(1-Parámetros!$B$5)/Parámetros!$B$7,0)*Parámetros!$B$7)</f>
        <v/>
      </c>
      <c r="H45" s="57"/>
      <c r="I45" s="67">
        <f>IF(E45="Alta",Parámetros!$B$19,IF(E45="Media",Parámetros!$B$20,Parámetros!$B$21))</f>
        <v>4</v>
      </c>
      <c r="J45" s="53">
        <f t="shared" si="2"/>
        <v>4</v>
      </c>
      <c r="K45" s="66" t="str">
        <f t="shared" si="3"/>
        <v/>
      </c>
      <c r="L45" s="53">
        <f>RANK(C45,$C$5:$C$56)+COUNTIF($C$5:C45,C45)-1</f>
        <v>41</v>
      </c>
    </row>
    <row r="46" spans="1:12" x14ac:dyDescent="0.25">
      <c r="A46" s="54" t="s">
        <v>246</v>
      </c>
      <c r="B46" s="53" t="s">
        <v>317</v>
      </c>
      <c r="C46" s="53">
        <f>COUNTIF(Catálogo!$E$5:$E$126,A46)</f>
        <v>1</v>
      </c>
      <c r="D46" s="53">
        <f>COUNTIFS(Catálogo!$E$5:$E$126,A46,Catálogo!$I$5:$I$126,"Venta actual")</f>
        <v>1</v>
      </c>
      <c r="E46" s="53" t="str">
        <f>IF(C46&gt;=Parámetros!$B$15,"Alta",IF(C46&gt;=Parámetros!$B$16,"Media","Baja"))</f>
        <v>Baja</v>
      </c>
      <c r="F46" s="44"/>
      <c r="G46" s="66" t="str">
        <f>IF(F46="","",ROUND(F46/(1-Parámetros!$B$5)/Parámetros!$B$7,0)*Parámetros!$B$7)</f>
        <v/>
      </c>
      <c r="H46" s="57"/>
      <c r="I46" s="67">
        <f>IF(E46="Alta",Parámetros!$B$19,IF(E46="Media",Parámetros!$B$20,Parámetros!$B$21))</f>
        <v>4</v>
      </c>
      <c r="J46" s="53">
        <f t="shared" si="2"/>
        <v>4</v>
      </c>
      <c r="K46" s="66" t="str">
        <f t="shared" si="3"/>
        <v/>
      </c>
      <c r="L46" s="53">
        <f>RANK(C46,$C$5:$C$56)+COUNTIF($C$5:C46,C46)-1</f>
        <v>42</v>
      </c>
    </row>
    <row r="47" spans="1:12" x14ac:dyDescent="0.25">
      <c r="A47" s="54" t="s">
        <v>399</v>
      </c>
      <c r="B47" s="53" t="s">
        <v>317</v>
      </c>
      <c r="C47" s="53">
        <f>COUNTIF(Catálogo!$E$5:$E$126,A47)</f>
        <v>1</v>
      </c>
      <c r="D47" s="53">
        <f>COUNTIFS(Catálogo!$E$5:$E$126,A47,Catálogo!$I$5:$I$126,"Venta actual")</f>
        <v>0</v>
      </c>
      <c r="E47" s="53" t="str">
        <f>IF(C47&gt;=Parámetros!$B$15,"Alta",IF(C47&gt;=Parámetros!$B$16,"Media","Baja"))</f>
        <v>Baja</v>
      </c>
      <c r="F47" s="44"/>
      <c r="G47" s="66" t="str">
        <f>IF(F47="","",ROUND(F47/(1-Parámetros!$B$5)/Parámetros!$B$7,0)*Parámetros!$B$7)</f>
        <v/>
      </c>
      <c r="H47" s="57"/>
      <c r="I47" s="67">
        <f>IF(E47="Alta",Parámetros!$B$19,IF(E47="Media",Parámetros!$B$20,Parámetros!$B$21))</f>
        <v>4</v>
      </c>
      <c r="J47" s="53">
        <f t="shared" si="2"/>
        <v>4</v>
      </c>
      <c r="K47" s="66" t="str">
        <f t="shared" si="3"/>
        <v/>
      </c>
      <c r="L47" s="53">
        <f>RANK(C47,$C$5:$C$56)+COUNTIF($C$5:C47,C47)-1</f>
        <v>43</v>
      </c>
    </row>
    <row r="48" spans="1:12" x14ac:dyDescent="0.25">
      <c r="A48" s="54" t="s">
        <v>397</v>
      </c>
      <c r="B48" s="53" t="s">
        <v>317</v>
      </c>
      <c r="C48" s="53">
        <f>COUNTIF(Catálogo!$E$5:$E$126,A48)</f>
        <v>1</v>
      </c>
      <c r="D48" s="53">
        <f>COUNTIFS(Catálogo!$E$5:$E$126,A48,Catálogo!$I$5:$I$126,"Venta actual")</f>
        <v>0</v>
      </c>
      <c r="E48" s="53" t="str">
        <f>IF(C48&gt;=Parámetros!$B$15,"Alta",IF(C48&gt;=Parámetros!$B$16,"Media","Baja"))</f>
        <v>Baja</v>
      </c>
      <c r="F48" s="44"/>
      <c r="G48" s="66" t="str">
        <f>IF(F48="","",ROUND(F48/(1-Parámetros!$B$5)/Parámetros!$B$7,0)*Parámetros!$B$7)</f>
        <v/>
      </c>
      <c r="H48" s="57"/>
      <c r="I48" s="67">
        <f>IF(E48="Alta",Parámetros!$B$19,IF(E48="Media",Parámetros!$B$20,Parámetros!$B$21))</f>
        <v>4</v>
      </c>
      <c r="J48" s="53">
        <f t="shared" si="2"/>
        <v>4</v>
      </c>
      <c r="K48" s="66" t="str">
        <f t="shared" si="3"/>
        <v/>
      </c>
      <c r="L48" s="53">
        <f>RANK(C48,$C$5:$C$56)+COUNTIF($C$5:C48,C48)-1</f>
        <v>44</v>
      </c>
    </row>
    <row r="49" spans="1:12" x14ac:dyDescent="0.25">
      <c r="A49" s="54" t="s">
        <v>401</v>
      </c>
      <c r="B49" s="53" t="s">
        <v>317</v>
      </c>
      <c r="C49" s="53">
        <f>COUNTIF(Catálogo!$E$5:$E$126,A49)</f>
        <v>1</v>
      </c>
      <c r="D49" s="53">
        <f>COUNTIFS(Catálogo!$E$5:$E$126,A49,Catálogo!$I$5:$I$126,"Venta actual")</f>
        <v>0</v>
      </c>
      <c r="E49" s="53" t="str">
        <f>IF(C49&gt;=Parámetros!$B$15,"Alta",IF(C49&gt;=Parámetros!$B$16,"Media","Baja"))</f>
        <v>Baja</v>
      </c>
      <c r="F49" s="44"/>
      <c r="G49" s="66" t="str">
        <f>IF(F49="","",ROUND(F49/(1-Parámetros!$B$5)/Parámetros!$B$7,0)*Parámetros!$B$7)</f>
        <v/>
      </c>
      <c r="H49" s="57"/>
      <c r="I49" s="67">
        <f>IF(E49="Alta",Parámetros!$B$19,IF(E49="Media",Parámetros!$B$20,Parámetros!$B$21))</f>
        <v>4</v>
      </c>
      <c r="J49" s="53">
        <f t="shared" si="2"/>
        <v>4</v>
      </c>
      <c r="K49" s="66" t="str">
        <f t="shared" si="3"/>
        <v/>
      </c>
      <c r="L49" s="53">
        <f>RANK(C49,$C$5:$C$56)+COUNTIF($C$5:C49,C49)-1</f>
        <v>45</v>
      </c>
    </row>
    <row r="50" spans="1:12" x14ac:dyDescent="0.25">
      <c r="A50" s="54" t="s">
        <v>377</v>
      </c>
      <c r="B50" s="53" t="s">
        <v>547</v>
      </c>
      <c r="C50" s="53">
        <f>COUNTIF(Catálogo!$E$5:$E$126,A50)</f>
        <v>1</v>
      </c>
      <c r="D50" s="53">
        <f>COUNTIFS(Catálogo!$E$5:$E$126,A50,Catálogo!$I$5:$I$126,"Venta actual")</f>
        <v>0</v>
      </c>
      <c r="E50" s="53" t="str">
        <f>IF(C50&gt;=Parámetros!$B$15,"Alta",IF(C50&gt;=Parámetros!$B$16,"Media","Baja"))</f>
        <v>Baja</v>
      </c>
      <c r="F50" s="44"/>
      <c r="G50" s="66" t="str">
        <f>IF(F50="","",ROUND(F50/(1-Parámetros!$B$5)/Parámetros!$B$7,0)*Parámetros!$B$7)</f>
        <v/>
      </c>
      <c r="H50" s="57"/>
      <c r="I50" s="67">
        <f>IF(E50="Alta",Parámetros!$B$19,IF(E50="Media",Parámetros!$B$20,Parámetros!$B$21))</f>
        <v>4</v>
      </c>
      <c r="J50" s="53">
        <f t="shared" si="2"/>
        <v>4</v>
      </c>
      <c r="K50" s="66" t="str">
        <f t="shared" si="3"/>
        <v/>
      </c>
      <c r="L50" s="53">
        <f>RANK(C50,$C$5:$C$56)+COUNTIF($C$5:C50,C50)-1</f>
        <v>46</v>
      </c>
    </row>
    <row r="51" spans="1:12" x14ac:dyDescent="0.25">
      <c r="A51" s="54" t="s">
        <v>367</v>
      </c>
      <c r="B51" s="53" t="s">
        <v>547</v>
      </c>
      <c r="C51" s="53">
        <f>COUNTIF(Catálogo!$E$5:$E$126,A51)</f>
        <v>1</v>
      </c>
      <c r="D51" s="53">
        <f>COUNTIFS(Catálogo!$E$5:$E$126,A51,Catálogo!$I$5:$I$126,"Venta actual")</f>
        <v>0</v>
      </c>
      <c r="E51" s="53" t="str">
        <f>IF(C51&gt;=Parámetros!$B$15,"Alta",IF(C51&gt;=Parámetros!$B$16,"Media","Baja"))</f>
        <v>Baja</v>
      </c>
      <c r="F51" s="44"/>
      <c r="G51" s="66" t="str">
        <f>IF(F51="","",ROUND(F51/(1-Parámetros!$B$5)/Parámetros!$B$7,0)*Parámetros!$B$7)</f>
        <v/>
      </c>
      <c r="H51" s="57"/>
      <c r="I51" s="67">
        <f>IF(E51="Alta",Parámetros!$B$19,IF(E51="Media",Parámetros!$B$20,Parámetros!$B$21))</f>
        <v>4</v>
      </c>
      <c r="J51" s="53">
        <f t="shared" si="2"/>
        <v>4</v>
      </c>
      <c r="K51" s="66" t="str">
        <f t="shared" si="3"/>
        <v/>
      </c>
      <c r="L51" s="53">
        <f>RANK(C51,$C$5:$C$56)+COUNTIF($C$5:C51,C51)-1</f>
        <v>47</v>
      </c>
    </row>
    <row r="52" spans="1:12" x14ac:dyDescent="0.25">
      <c r="A52" s="54" t="s">
        <v>500</v>
      </c>
      <c r="B52" s="53" t="s">
        <v>547</v>
      </c>
      <c r="C52" s="53">
        <f>COUNTIF(Catálogo!$E$5:$E$126,A52)</f>
        <v>1</v>
      </c>
      <c r="D52" s="53">
        <f>COUNTIFS(Catálogo!$E$5:$E$126,A52,Catálogo!$I$5:$I$126,"Venta actual")</f>
        <v>0</v>
      </c>
      <c r="E52" s="53" t="str">
        <f>IF(C52&gt;=Parámetros!$B$15,"Alta",IF(C52&gt;=Parámetros!$B$16,"Media","Baja"))</f>
        <v>Baja</v>
      </c>
      <c r="F52" s="44"/>
      <c r="G52" s="66" t="str">
        <f>IF(F52="","",ROUND(F52/(1-Parámetros!$B$5)/Parámetros!$B$7,0)*Parámetros!$B$7)</f>
        <v/>
      </c>
      <c r="H52" s="57"/>
      <c r="I52" s="67">
        <f>IF(E52="Alta",Parámetros!$B$19,IF(E52="Media",Parámetros!$B$20,Parámetros!$B$21))</f>
        <v>4</v>
      </c>
      <c r="J52" s="53">
        <f t="shared" si="2"/>
        <v>4</v>
      </c>
      <c r="K52" s="66" t="str">
        <f t="shared" si="3"/>
        <v/>
      </c>
      <c r="L52" s="53">
        <f>RANK(C52,$C$5:$C$56)+COUNTIF($C$5:C52,C52)-1</f>
        <v>48</v>
      </c>
    </row>
    <row r="53" spans="1:12" x14ac:dyDescent="0.25">
      <c r="A53" s="54" t="s">
        <v>504</v>
      </c>
      <c r="B53" s="53" t="s">
        <v>547</v>
      </c>
      <c r="C53" s="53">
        <f>COUNTIF(Catálogo!$E$5:$E$126,A53)</f>
        <v>1</v>
      </c>
      <c r="D53" s="53">
        <f>COUNTIFS(Catálogo!$E$5:$E$126,A53,Catálogo!$I$5:$I$126,"Venta actual")</f>
        <v>0</v>
      </c>
      <c r="E53" s="53" t="str">
        <f>IF(C53&gt;=Parámetros!$B$15,"Alta",IF(C53&gt;=Parámetros!$B$16,"Media","Baja"))</f>
        <v>Baja</v>
      </c>
      <c r="F53" s="44"/>
      <c r="G53" s="66" t="str">
        <f>IF(F53="","",ROUND(F53/(1-Parámetros!$B$5)/Parámetros!$B$7,0)*Parámetros!$B$7)</f>
        <v/>
      </c>
      <c r="H53" s="57"/>
      <c r="I53" s="67">
        <f>IF(E53="Alta",Parámetros!$B$19,IF(E53="Media",Parámetros!$B$20,Parámetros!$B$21))</f>
        <v>4</v>
      </c>
      <c r="J53" s="53">
        <f t="shared" si="2"/>
        <v>4</v>
      </c>
      <c r="K53" s="66" t="str">
        <f t="shared" si="3"/>
        <v/>
      </c>
      <c r="L53" s="53">
        <f>RANK(C53,$C$5:$C$56)+COUNTIF($C$5:C53,C53)-1</f>
        <v>49</v>
      </c>
    </row>
    <row r="54" spans="1:12" x14ac:dyDescent="0.25">
      <c r="A54" s="54" t="s">
        <v>298</v>
      </c>
      <c r="B54" s="53" t="s">
        <v>547</v>
      </c>
      <c r="C54" s="53">
        <f>COUNTIF(Catálogo!$E$5:$E$126,A54)</f>
        <v>1</v>
      </c>
      <c r="D54" s="53">
        <f>COUNTIFS(Catálogo!$E$5:$E$126,A54,Catálogo!$I$5:$I$126,"Venta actual")</f>
        <v>1</v>
      </c>
      <c r="E54" s="53" t="str">
        <f>IF(C54&gt;=Parámetros!$B$15,"Alta",IF(C54&gt;=Parámetros!$B$16,"Media","Baja"))</f>
        <v>Baja</v>
      </c>
      <c r="F54" s="44">
        <v>9000</v>
      </c>
      <c r="G54" s="66">
        <f>IF(F54="","",ROUND(F54/(1-Parámetros!$B$5)/Parámetros!$B$7,0)*Parámetros!$B$7)</f>
        <v>18000</v>
      </c>
      <c r="H54" s="57"/>
      <c r="I54" s="67">
        <f>IF(E54="Alta",Parámetros!$B$19,IF(E54="Media",Parámetros!$B$20,Parámetros!$B$21))</f>
        <v>4</v>
      </c>
      <c r="J54" s="53">
        <f t="shared" si="2"/>
        <v>4</v>
      </c>
      <c r="K54" s="66">
        <f t="shared" si="3"/>
        <v>36000</v>
      </c>
      <c r="L54" s="53">
        <f>RANK(C54,$C$5:$C$56)+COUNTIF($C$5:C54,C54)-1</f>
        <v>50</v>
      </c>
    </row>
    <row r="55" spans="1:12" x14ac:dyDescent="0.25">
      <c r="A55" s="54" t="s">
        <v>229</v>
      </c>
      <c r="B55" s="53" t="s">
        <v>547</v>
      </c>
      <c r="C55" s="53">
        <f>COUNTIF(Catálogo!$E$5:$E$126,A55)</f>
        <v>1</v>
      </c>
      <c r="D55" s="53">
        <f>COUNTIFS(Catálogo!$E$5:$E$126,A55,Catálogo!$I$5:$I$126,"Venta actual")</f>
        <v>1</v>
      </c>
      <c r="E55" s="53" t="str">
        <f>IF(C55&gt;=Parámetros!$B$15,"Alta",IF(C55&gt;=Parámetros!$B$16,"Media","Baja"))</f>
        <v>Baja</v>
      </c>
      <c r="F55" s="44"/>
      <c r="G55" s="66" t="str">
        <f>IF(F55="","",ROUND(F55/(1-Parámetros!$B$5)/Parámetros!$B$7,0)*Parámetros!$B$7)</f>
        <v/>
      </c>
      <c r="H55" s="57"/>
      <c r="I55" s="67">
        <f>IF(E55="Alta",Parámetros!$B$19,IF(E55="Media",Parámetros!$B$20,Parámetros!$B$21))</f>
        <v>4</v>
      </c>
      <c r="J55" s="53">
        <f t="shared" si="2"/>
        <v>4</v>
      </c>
      <c r="K55" s="66" t="str">
        <f t="shared" si="3"/>
        <v/>
      </c>
      <c r="L55" s="53">
        <f>RANK(C55,$C$5:$C$56)+COUNTIF($C$5:C55,C55)-1</f>
        <v>51</v>
      </c>
    </row>
    <row r="56" spans="1:12" x14ac:dyDescent="0.25">
      <c r="A56" s="54" t="s">
        <v>489</v>
      </c>
      <c r="B56" s="53" t="s">
        <v>547</v>
      </c>
      <c r="C56" s="53">
        <f>COUNTIF(Catálogo!$E$5:$E$126,A56)</f>
        <v>1</v>
      </c>
      <c r="D56" s="53">
        <f>COUNTIFS(Catálogo!$E$5:$E$126,A56,Catálogo!$I$5:$I$126,"Venta actual")</f>
        <v>0</v>
      </c>
      <c r="E56" s="53" t="str">
        <f>IF(C56&gt;=Parámetros!$B$15,"Alta",IF(C56&gt;=Parámetros!$B$16,"Media","Baja"))</f>
        <v>Baja</v>
      </c>
      <c r="F56" s="44"/>
      <c r="G56" s="66" t="str">
        <f>IF(F56="","",ROUND(F56/(1-Parámetros!$B$5)/Parámetros!$B$7,0)*Parámetros!$B$7)</f>
        <v/>
      </c>
      <c r="H56" s="57"/>
      <c r="I56" s="67">
        <f>IF(E56="Alta",Parámetros!$B$19,IF(E56="Media",Parámetros!$B$20,Parámetros!$B$21))</f>
        <v>4</v>
      </c>
      <c r="J56" s="53">
        <f t="shared" si="2"/>
        <v>4</v>
      </c>
      <c r="K56" s="66" t="str">
        <f t="shared" si="3"/>
        <v/>
      </c>
      <c r="L56" s="53">
        <f>RANK(C56,$C$5:$C$56)+COUNTIF($C$5:C56,C56)-1</f>
        <v>52</v>
      </c>
    </row>
    <row r="57" spans="1:12" x14ac:dyDescent="0.25">
      <c r="A57" s="68" t="s">
        <v>82</v>
      </c>
      <c r="B57" s="69"/>
      <c r="C57" s="69"/>
      <c r="D57" s="69"/>
      <c r="E57" s="69"/>
      <c r="F57" s="69"/>
      <c r="G57" s="69"/>
      <c r="H57" s="69"/>
      <c r="I57" s="69"/>
      <c r="J57" s="68">
        <f>SUM(J5:J56)</f>
        <v>304</v>
      </c>
      <c r="K57" s="70">
        <f>SUM(K5:K56)</f>
        <v>628400</v>
      </c>
      <c r="L57" s="69"/>
    </row>
    <row r="59" spans="1:12" x14ac:dyDescent="0.25">
      <c r="A59" s="33" t="s">
        <v>548</v>
      </c>
    </row>
    <row r="60" spans="1:12" x14ac:dyDescent="0.25">
      <c r="A60" s="33" t="s">
        <v>549</v>
      </c>
    </row>
    <row r="61" spans="1:12" x14ac:dyDescent="0.25">
      <c r="A61" s="33" t="s">
        <v>550</v>
      </c>
    </row>
  </sheetData>
  <autoFilter ref="A4:L56" xr:uid="{00000000-0009-0000-0000-000006000000}"/>
  <conditionalFormatting sqref="C5:C56">
    <cfRule type="dataBar" priority="5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{D6D514FB-D645-43AB-B7E5-F450AF756736}</x14:id>
        </ext>
      </extLst>
    </cfRule>
  </conditionalFormatting>
  <conditionalFormatting sqref="E5:E56">
    <cfRule type="expression" dxfId="5" priority="2">
      <formula>$E5="Alta"</formula>
    </cfRule>
    <cfRule type="expression" dxfId="4" priority="3">
      <formula>$E5="Media"</formula>
    </cfRule>
    <cfRule type="expression" dxfId="3" priority="4">
      <formula>$E5="Baja"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D514FB-D645-43AB-B7E5-F450AF756736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C5:C56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L36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32" customWidth="1"/>
    <col min="2" max="2" width="22" customWidth="1"/>
    <col min="3" max="3" width="13" customWidth="1"/>
    <col min="4" max="4" width="11" customWidth="1"/>
    <col min="5" max="5" width="36" customWidth="1"/>
    <col min="6" max="6" width="20" customWidth="1"/>
    <col min="7" max="7" width="14" customWidth="1"/>
    <col min="8" max="8" width="12" customWidth="1"/>
    <col min="9" max="9" width="15" customWidth="1"/>
    <col min="10" max="10" width="17" customWidth="1"/>
    <col min="11" max="11" width="14" customWidth="1"/>
    <col min="12" max="12" width="12" customWidth="1"/>
  </cols>
  <sheetData>
    <row r="1" spans="1:12" ht="23.25" x14ac:dyDescent="0.35">
      <c r="A1" s="27" t="s">
        <v>551</v>
      </c>
    </row>
    <row r="2" spans="1:12" x14ac:dyDescent="0.25">
      <c r="A2" s="14" t="s">
        <v>552</v>
      </c>
    </row>
    <row r="4" spans="1:12" ht="31.5" customHeight="1" x14ac:dyDescent="0.25">
      <c r="A4" s="16" t="s">
        <v>515</v>
      </c>
      <c r="B4" s="16" t="s">
        <v>553</v>
      </c>
      <c r="C4" s="16" t="s">
        <v>197</v>
      </c>
      <c r="D4" s="16" t="s">
        <v>71</v>
      </c>
      <c r="E4" s="16" t="s">
        <v>191</v>
      </c>
      <c r="F4" s="16" t="s">
        <v>554</v>
      </c>
      <c r="G4" s="16" t="s">
        <v>555</v>
      </c>
      <c r="H4" s="16" t="s">
        <v>556</v>
      </c>
      <c r="I4" s="16" t="s">
        <v>557</v>
      </c>
      <c r="J4" s="16" t="s">
        <v>528</v>
      </c>
      <c r="K4" s="16" t="s">
        <v>85</v>
      </c>
      <c r="L4" s="16" t="s">
        <v>196</v>
      </c>
    </row>
    <row r="5" spans="1:12" x14ac:dyDescent="0.25">
      <c r="A5" s="71" t="s">
        <v>516</v>
      </c>
      <c r="B5" s="71" t="s">
        <v>558</v>
      </c>
      <c r="C5" s="57" t="s">
        <v>518</v>
      </c>
      <c r="D5" s="57" t="s">
        <v>80</v>
      </c>
      <c r="E5" s="71" t="s">
        <v>442</v>
      </c>
      <c r="F5" s="71" t="s">
        <v>559</v>
      </c>
      <c r="G5" s="72">
        <v>46127</v>
      </c>
      <c r="H5" s="57"/>
      <c r="I5" s="73">
        <f>IF(G5="","",EDATE(G5,IF(H5="",Parámetros!$B$24,H5)))</f>
        <v>46492</v>
      </c>
      <c r="J5" s="74" t="str">
        <f t="shared" ref="J5:J34" ca="1" si="0">IF(I5="","",IF(I5&lt;TODAY(),"Vencida",IF(I5&lt;=TODAY()+30,"Próximos 30 días","Al día")))</f>
        <v>Al día</v>
      </c>
      <c r="K5" s="75" t="str">
        <f>IF(E5="","",IFERROR(INDEX(Catálogo!$E$5:$E$126,MATCH(D5&amp;"|"&amp;E5,Catálogo!$M$5:$M$126,0)),"No encontrado"))</f>
        <v>BPR7HS</v>
      </c>
      <c r="L5" s="74">
        <f>IF(E5="","",IFERROR(IF(INDEX(Catálogo!$H$5:$H$126,MATCH(D5&amp;"|"&amp;E5,Catálogo!$M$5:$M$126,0))="","",INDEX(Catálogo!$H$5:$H$126,MATCH(D5&amp;"|"&amp;E5,Catálogo!$M$5:$M$126,0))),""))</f>
        <v>2</v>
      </c>
    </row>
    <row r="6" spans="1:12" x14ac:dyDescent="0.25">
      <c r="A6" s="71"/>
      <c r="B6" s="71"/>
      <c r="C6" s="57"/>
      <c r="D6" s="57"/>
      <c r="E6" s="71"/>
      <c r="F6" s="71"/>
      <c r="G6" s="72"/>
      <c r="H6" s="57"/>
      <c r="I6" s="73" t="str">
        <f>IF(G6="","",EDATE(G6,IF(H6="",Parámetros!$B$24,H6)))</f>
        <v/>
      </c>
      <c r="J6" s="74" t="str">
        <f t="shared" ca="1" si="0"/>
        <v/>
      </c>
      <c r="K6" s="75" t="str">
        <f>IF(E6="","",IFERROR(INDEX(Catálogo!$E$5:$E$126,MATCH(D6&amp;"|"&amp;E6,Catálogo!$M$5:$M$126,0)),"No encontrado"))</f>
        <v/>
      </c>
      <c r="L6" s="74" t="str">
        <f>IF(E6="","",IFERROR(IF(INDEX(Catálogo!$H$5:$H$126,MATCH(D6&amp;"|"&amp;E6,Catálogo!$M$5:$M$126,0))="","",INDEX(Catálogo!$H$5:$H$126,MATCH(D6&amp;"|"&amp;E6,Catálogo!$M$5:$M$126,0))),""))</f>
        <v/>
      </c>
    </row>
    <row r="7" spans="1:12" x14ac:dyDescent="0.25">
      <c r="A7" s="71"/>
      <c r="B7" s="71"/>
      <c r="C7" s="57"/>
      <c r="D7" s="57"/>
      <c r="E7" s="71"/>
      <c r="F7" s="71"/>
      <c r="G7" s="72"/>
      <c r="H7" s="57"/>
      <c r="I7" s="73" t="str">
        <f>IF(G7="","",EDATE(G7,IF(H7="",Parámetros!$B$24,H7)))</f>
        <v/>
      </c>
      <c r="J7" s="74" t="str">
        <f t="shared" ca="1" si="0"/>
        <v/>
      </c>
      <c r="K7" s="75" t="str">
        <f>IF(E7="","",IFERROR(INDEX(Catálogo!$E$5:$E$126,MATCH(D7&amp;"|"&amp;E7,Catálogo!$M$5:$M$126,0)),"No encontrado"))</f>
        <v/>
      </c>
      <c r="L7" s="74" t="str">
        <f>IF(E7="","",IFERROR(IF(INDEX(Catálogo!$H$5:$H$126,MATCH(D7&amp;"|"&amp;E7,Catálogo!$M$5:$M$126,0))="","",INDEX(Catálogo!$H$5:$H$126,MATCH(D7&amp;"|"&amp;E7,Catálogo!$M$5:$M$126,0))),""))</f>
        <v/>
      </c>
    </row>
    <row r="8" spans="1:12" x14ac:dyDescent="0.25">
      <c r="A8" s="71"/>
      <c r="B8" s="71"/>
      <c r="C8" s="57"/>
      <c r="D8" s="57"/>
      <c r="E8" s="71"/>
      <c r="F8" s="71"/>
      <c r="G8" s="72"/>
      <c r="H8" s="57"/>
      <c r="I8" s="73" t="str">
        <f>IF(G8="","",EDATE(G8,IF(H8="",Parámetros!$B$24,H8)))</f>
        <v/>
      </c>
      <c r="J8" s="74" t="str">
        <f t="shared" ca="1" si="0"/>
        <v/>
      </c>
      <c r="K8" s="75" t="str">
        <f>IF(E8="","",IFERROR(INDEX(Catálogo!$E$5:$E$126,MATCH(D8&amp;"|"&amp;E8,Catálogo!$M$5:$M$126,0)),"No encontrado"))</f>
        <v/>
      </c>
      <c r="L8" s="74" t="str">
        <f>IF(E8="","",IFERROR(IF(INDEX(Catálogo!$H$5:$H$126,MATCH(D8&amp;"|"&amp;E8,Catálogo!$M$5:$M$126,0))="","",INDEX(Catálogo!$H$5:$H$126,MATCH(D8&amp;"|"&amp;E8,Catálogo!$M$5:$M$126,0))),""))</f>
        <v/>
      </c>
    </row>
    <row r="9" spans="1:12" x14ac:dyDescent="0.25">
      <c r="A9" s="71"/>
      <c r="B9" s="71"/>
      <c r="C9" s="57"/>
      <c r="D9" s="57"/>
      <c r="E9" s="71"/>
      <c r="F9" s="71"/>
      <c r="G9" s="72"/>
      <c r="H9" s="57"/>
      <c r="I9" s="73" t="str">
        <f>IF(G9="","",EDATE(G9,IF(H9="",Parámetros!$B$24,H9)))</f>
        <v/>
      </c>
      <c r="J9" s="74" t="str">
        <f t="shared" ca="1" si="0"/>
        <v/>
      </c>
      <c r="K9" s="75" t="str">
        <f>IF(E9="","",IFERROR(INDEX(Catálogo!$E$5:$E$126,MATCH(D9&amp;"|"&amp;E9,Catálogo!$M$5:$M$126,0)),"No encontrado"))</f>
        <v/>
      </c>
      <c r="L9" s="74" t="str">
        <f>IF(E9="","",IFERROR(IF(INDEX(Catálogo!$H$5:$H$126,MATCH(D9&amp;"|"&amp;E9,Catálogo!$M$5:$M$126,0))="","",INDEX(Catálogo!$H$5:$H$126,MATCH(D9&amp;"|"&amp;E9,Catálogo!$M$5:$M$126,0))),""))</f>
        <v/>
      </c>
    </row>
    <row r="10" spans="1:12" x14ac:dyDescent="0.25">
      <c r="A10" s="71"/>
      <c r="B10" s="71"/>
      <c r="C10" s="57"/>
      <c r="D10" s="57"/>
      <c r="E10" s="71"/>
      <c r="F10" s="71"/>
      <c r="G10" s="72"/>
      <c r="H10" s="57"/>
      <c r="I10" s="73" t="str">
        <f>IF(G10="","",EDATE(G10,IF(H10="",Parámetros!$B$24,H10)))</f>
        <v/>
      </c>
      <c r="J10" s="74" t="str">
        <f t="shared" ca="1" si="0"/>
        <v/>
      </c>
      <c r="K10" s="75" t="str">
        <f>IF(E10="","",IFERROR(INDEX(Catálogo!$E$5:$E$126,MATCH(D10&amp;"|"&amp;E10,Catálogo!$M$5:$M$126,0)),"No encontrado"))</f>
        <v/>
      </c>
      <c r="L10" s="74" t="str">
        <f>IF(E10="","",IFERROR(IF(INDEX(Catálogo!$H$5:$H$126,MATCH(D10&amp;"|"&amp;E10,Catálogo!$M$5:$M$126,0))="","",INDEX(Catálogo!$H$5:$H$126,MATCH(D10&amp;"|"&amp;E10,Catálogo!$M$5:$M$126,0))),""))</f>
        <v/>
      </c>
    </row>
    <row r="11" spans="1:12" x14ac:dyDescent="0.25">
      <c r="A11" s="71"/>
      <c r="B11" s="71"/>
      <c r="C11" s="57"/>
      <c r="D11" s="57"/>
      <c r="E11" s="71"/>
      <c r="F11" s="71"/>
      <c r="G11" s="72"/>
      <c r="H11" s="57"/>
      <c r="I11" s="73" t="str">
        <f>IF(G11="","",EDATE(G11,IF(H11="",Parámetros!$B$24,H11)))</f>
        <v/>
      </c>
      <c r="J11" s="74" t="str">
        <f t="shared" ca="1" si="0"/>
        <v/>
      </c>
      <c r="K11" s="75" t="str">
        <f>IF(E11="","",IFERROR(INDEX(Catálogo!$E$5:$E$126,MATCH(D11&amp;"|"&amp;E11,Catálogo!$M$5:$M$126,0)),"No encontrado"))</f>
        <v/>
      </c>
      <c r="L11" s="74" t="str">
        <f>IF(E11="","",IFERROR(IF(INDEX(Catálogo!$H$5:$H$126,MATCH(D11&amp;"|"&amp;E11,Catálogo!$M$5:$M$126,0))="","",INDEX(Catálogo!$H$5:$H$126,MATCH(D11&amp;"|"&amp;E11,Catálogo!$M$5:$M$126,0))),""))</f>
        <v/>
      </c>
    </row>
    <row r="12" spans="1:12" x14ac:dyDescent="0.25">
      <c r="A12" s="71"/>
      <c r="B12" s="71"/>
      <c r="C12" s="57"/>
      <c r="D12" s="57"/>
      <c r="E12" s="71"/>
      <c r="F12" s="71"/>
      <c r="G12" s="72"/>
      <c r="H12" s="57"/>
      <c r="I12" s="73" t="str">
        <f>IF(G12="","",EDATE(G12,IF(H12="",Parámetros!$B$24,H12)))</f>
        <v/>
      </c>
      <c r="J12" s="74" t="str">
        <f t="shared" ca="1" si="0"/>
        <v/>
      </c>
      <c r="K12" s="75" t="str">
        <f>IF(E12="","",IFERROR(INDEX(Catálogo!$E$5:$E$126,MATCH(D12&amp;"|"&amp;E12,Catálogo!$M$5:$M$126,0)),"No encontrado"))</f>
        <v/>
      </c>
      <c r="L12" s="74" t="str">
        <f>IF(E12="","",IFERROR(IF(INDEX(Catálogo!$H$5:$H$126,MATCH(D12&amp;"|"&amp;E12,Catálogo!$M$5:$M$126,0))="","",INDEX(Catálogo!$H$5:$H$126,MATCH(D12&amp;"|"&amp;E12,Catálogo!$M$5:$M$126,0))),""))</f>
        <v/>
      </c>
    </row>
    <row r="13" spans="1:12" x14ac:dyDescent="0.25">
      <c r="A13" s="71"/>
      <c r="B13" s="71"/>
      <c r="C13" s="57"/>
      <c r="D13" s="57"/>
      <c r="E13" s="71"/>
      <c r="F13" s="71"/>
      <c r="G13" s="72"/>
      <c r="H13" s="57"/>
      <c r="I13" s="73" t="str">
        <f>IF(G13="","",EDATE(G13,IF(H13="",Parámetros!$B$24,H13)))</f>
        <v/>
      </c>
      <c r="J13" s="74" t="str">
        <f t="shared" ca="1" si="0"/>
        <v/>
      </c>
      <c r="K13" s="75" t="str">
        <f>IF(E13="","",IFERROR(INDEX(Catálogo!$E$5:$E$126,MATCH(D13&amp;"|"&amp;E13,Catálogo!$M$5:$M$126,0)),"No encontrado"))</f>
        <v/>
      </c>
      <c r="L13" s="74" t="str">
        <f>IF(E13="","",IFERROR(IF(INDEX(Catálogo!$H$5:$H$126,MATCH(D13&amp;"|"&amp;E13,Catálogo!$M$5:$M$126,0))="","",INDEX(Catálogo!$H$5:$H$126,MATCH(D13&amp;"|"&amp;E13,Catálogo!$M$5:$M$126,0))),""))</f>
        <v/>
      </c>
    </row>
    <row r="14" spans="1:12" x14ac:dyDescent="0.25">
      <c r="A14" s="71"/>
      <c r="B14" s="71"/>
      <c r="C14" s="57"/>
      <c r="D14" s="57"/>
      <c r="E14" s="71"/>
      <c r="F14" s="71"/>
      <c r="G14" s="72"/>
      <c r="H14" s="57"/>
      <c r="I14" s="73" t="str">
        <f>IF(G14="","",EDATE(G14,IF(H14="",Parámetros!$B$24,H14)))</f>
        <v/>
      </c>
      <c r="J14" s="74" t="str">
        <f t="shared" ca="1" si="0"/>
        <v/>
      </c>
      <c r="K14" s="75" t="str">
        <f>IF(E14="","",IFERROR(INDEX(Catálogo!$E$5:$E$126,MATCH(D14&amp;"|"&amp;E14,Catálogo!$M$5:$M$126,0)),"No encontrado"))</f>
        <v/>
      </c>
      <c r="L14" s="74" t="str">
        <f>IF(E14="","",IFERROR(IF(INDEX(Catálogo!$H$5:$H$126,MATCH(D14&amp;"|"&amp;E14,Catálogo!$M$5:$M$126,0))="","",INDEX(Catálogo!$H$5:$H$126,MATCH(D14&amp;"|"&amp;E14,Catálogo!$M$5:$M$126,0))),""))</f>
        <v/>
      </c>
    </row>
    <row r="15" spans="1:12" x14ac:dyDescent="0.25">
      <c r="A15" s="71"/>
      <c r="B15" s="71"/>
      <c r="C15" s="57"/>
      <c r="D15" s="57"/>
      <c r="E15" s="71"/>
      <c r="F15" s="71"/>
      <c r="G15" s="72"/>
      <c r="H15" s="57"/>
      <c r="I15" s="73" t="str">
        <f>IF(G15="","",EDATE(G15,IF(H15="",Parámetros!$B$24,H15)))</f>
        <v/>
      </c>
      <c r="J15" s="74" t="str">
        <f t="shared" ca="1" si="0"/>
        <v/>
      </c>
      <c r="K15" s="75" t="str">
        <f>IF(E15="","",IFERROR(INDEX(Catálogo!$E$5:$E$126,MATCH(D15&amp;"|"&amp;E15,Catálogo!$M$5:$M$126,0)),"No encontrado"))</f>
        <v/>
      </c>
      <c r="L15" s="74" t="str">
        <f>IF(E15="","",IFERROR(IF(INDEX(Catálogo!$H$5:$H$126,MATCH(D15&amp;"|"&amp;E15,Catálogo!$M$5:$M$126,0))="","",INDEX(Catálogo!$H$5:$H$126,MATCH(D15&amp;"|"&amp;E15,Catálogo!$M$5:$M$126,0))),""))</f>
        <v/>
      </c>
    </row>
    <row r="16" spans="1:12" x14ac:dyDescent="0.25">
      <c r="A16" s="71"/>
      <c r="B16" s="71"/>
      <c r="C16" s="57"/>
      <c r="D16" s="57"/>
      <c r="E16" s="71"/>
      <c r="F16" s="71"/>
      <c r="G16" s="72"/>
      <c r="H16" s="57"/>
      <c r="I16" s="73" t="str">
        <f>IF(G16="","",EDATE(G16,IF(H16="",Parámetros!$B$24,H16)))</f>
        <v/>
      </c>
      <c r="J16" s="74" t="str">
        <f t="shared" ca="1" si="0"/>
        <v/>
      </c>
      <c r="K16" s="75" t="str">
        <f>IF(E16="","",IFERROR(INDEX(Catálogo!$E$5:$E$126,MATCH(D16&amp;"|"&amp;E16,Catálogo!$M$5:$M$126,0)),"No encontrado"))</f>
        <v/>
      </c>
      <c r="L16" s="74" t="str">
        <f>IF(E16="","",IFERROR(IF(INDEX(Catálogo!$H$5:$H$126,MATCH(D16&amp;"|"&amp;E16,Catálogo!$M$5:$M$126,0))="","",INDEX(Catálogo!$H$5:$H$126,MATCH(D16&amp;"|"&amp;E16,Catálogo!$M$5:$M$126,0))),""))</f>
        <v/>
      </c>
    </row>
    <row r="17" spans="1:12" x14ac:dyDescent="0.25">
      <c r="A17" s="71"/>
      <c r="B17" s="71"/>
      <c r="C17" s="57"/>
      <c r="D17" s="57"/>
      <c r="E17" s="71"/>
      <c r="F17" s="71"/>
      <c r="G17" s="72"/>
      <c r="H17" s="57"/>
      <c r="I17" s="73" t="str">
        <f>IF(G17="","",EDATE(G17,IF(H17="",Parámetros!$B$24,H17)))</f>
        <v/>
      </c>
      <c r="J17" s="74" t="str">
        <f t="shared" ca="1" si="0"/>
        <v/>
      </c>
      <c r="K17" s="75" t="str">
        <f>IF(E17="","",IFERROR(INDEX(Catálogo!$E$5:$E$126,MATCH(D17&amp;"|"&amp;E17,Catálogo!$M$5:$M$126,0)),"No encontrado"))</f>
        <v/>
      </c>
      <c r="L17" s="74" t="str">
        <f>IF(E17="","",IFERROR(IF(INDEX(Catálogo!$H$5:$H$126,MATCH(D17&amp;"|"&amp;E17,Catálogo!$M$5:$M$126,0))="","",INDEX(Catálogo!$H$5:$H$126,MATCH(D17&amp;"|"&amp;E17,Catálogo!$M$5:$M$126,0))),""))</f>
        <v/>
      </c>
    </row>
    <row r="18" spans="1:12" x14ac:dyDescent="0.25">
      <c r="A18" s="71"/>
      <c r="B18" s="71"/>
      <c r="C18" s="57"/>
      <c r="D18" s="57"/>
      <c r="E18" s="71"/>
      <c r="F18" s="71"/>
      <c r="G18" s="72"/>
      <c r="H18" s="57"/>
      <c r="I18" s="73" t="str">
        <f>IF(G18="","",EDATE(G18,IF(H18="",Parámetros!$B$24,H18)))</f>
        <v/>
      </c>
      <c r="J18" s="74" t="str">
        <f t="shared" ca="1" si="0"/>
        <v/>
      </c>
      <c r="K18" s="75" t="str">
        <f>IF(E18="","",IFERROR(INDEX(Catálogo!$E$5:$E$126,MATCH(D18&amp;"|"&amp;E18,Catálogo!$M$5:$M$126,0)),"No encontrado"))</f>
        <v/>
      </c>
      <c r="L18" s="74" t="str">
        <f>IF(E18="","",IFERROR(IF(INDEX(Catálogo!$H$5:$H$126,MATCH(D18&amp;"|"&amp;E18,Catálogo!$M$5:$M$126,0))="","",INDEX(Catálogo!$H$5:$H$126,MATCH(D18&amp;"|"&amp;E18,Catálogo!$M$5:$M$126,0))),""))</f>
        <v/>
      </c>
    </row>
    <row r="19" spans="1:12" x14ac:dyDescent="0.25">
      <c r="A19" s="71"/>
      <c r="B19" s="71"/>
      <c r="C19" s="57"/>
      <c r="D19" s="57"/>
      <c r="E19" s="71"/>
      <c r="F19" s="71"/>
      <c r="G19" s="72"/>
      <c r="H19" s="57"/>
      <c r="I19" s="73" t="str">
        <f>IF(G19="","",EDATE(G19,IF(H19="",Parámetros!$B$24,H19)))</f>
        <v/>
      </c>
      <c r="J19" s="74" t="str">
        <f t="shared" ca="1" si="0"/>
        <v/>
      </c>
      <c r="K19" s="75" t="str">
        <f>IF(E19="","",IFERROR(INDEX(Catálogo!$E$5:$E$126,MATCH(D19&amp;"|"&amp;E19,Catálogo!$M$5:$M$126,0)),"No encontrado"))</f>
        <v/>
      </c>
      <c r="L19" s="74" t="str">
        <f>IF(E19="","",IFERROR(IF(INDEX(Catálogo!$H$5:$H$126,MATCH(D19&amp;"|"&amp;E19,Catálogo!$M$5:$M$126,0))="","",INDEX(Catálogo!$H$5:$H$126,MATCH(D19&amp;"|"&amp;E19,Catálogo!$M$5:$M$126,0))),""))</f>
        <v/>
      </c>
    </row>
    <row r="20" spans="1:12" x14ac:dyDescent="0.25">
      <c r="A20" s="71"/>
      <c r="B20" s="71"/>
      <c r="C20" s="57"/>
      <c r="D20" s="57"/>
      <c r="E20" s="71"/>
      <c r="F20" s="71"/>
      <c r="G20" s="72"/>
      <c r="H20" s="57"/>
      <c r="I20" s="73" t="str">
        <f>IF(G20="","",EDATE(G20,IF(H20="",Parámetros!$B$24,H20)))</f>
        <v/>
      </c>
      <c r="J20" s="74" t="str">
        <f t="shared" ca="1" si="0"/>
        <v/>
      </c>
      <c r="K20" s="75" t="str">
        <f>IF(E20="","",IFERROR(INDEX(Catálogo!$E$5:$E$126,MATCH(D20&amp;"|"&amp;E20,Catálogo!$M$5:$M$126,0)),"No encontrado"))</f>
        <v/>
      </c>
      <c r="L20" s="74" t="str">
        <f>IF(E20="","",IFERROR(IF(INDEX(Catálogo!$H$5:$H$126,MATCH(D20&amp;"|"&amp;E20,Catálogo!$M$5:$M$126,0))="","",INDEX(Catálogo!$H$5:$H$126,MATCH(D20&amp;"|"&amp;E20,Catálogo!$M$5:$M$126,0))),""))</f>
        <v/>
      </c>
    </row>
    <row r="21" spans="1:12" x14ac:dyDescent="0.25">
      <c r="A21" s="71"/>
      <c r="B21" s="71"/>
      <c r="C21" s="57"/>
      <c r="D21" s="57"/>
      <c r="E21" s="71"/>
      <c r="F21" s="71"/>
      <c r="G21" s="72"/>
      <c r="H21" s="57"/>
      <c r="I21" s="73" t="str">
        <f>IF(G21="","",EDATE(G21,IF(H21="",Parámetros!$B$24,H21)))</f>
        <v/>
      </c>
      <c r="J21" s="74" t="str">
        <f t="shared" ca="1" si="0"/>
        <v/>
      </c>
      <c r="K21" s="75" t="str">
        <f>IF(E21="","",IFERROR(INDEX(Catálogo!$E$5:$E$126,MATCH(D21&amp;"|"&amp;E21,Catálogo!$M$5:$M$126,0)),"No encontrado"))</f>
        <v/>
      </c>
      <c r="L21" s="74" t="str">
        <f>IF(E21="","",IFERROR(IF(INDEX(Catálogo!$H$5:$H$126,MATCH(D21&amp;"|"&amp;E21,Catálogo!$M$5:$M$126,0))="","",INDEX(Catálogo!$H$5:$H$126,MATCH(D21&amp;"|"&amp;E21,Catálogo!$M$5:$M$126,0))),""))</f>
        <v/>
      </c>
    </row>
    <row r="22" spans="1:12" x14ac:dyDescent="0.25">
      <c r="A22" s="71"/>
      <c r="B22" s="71"/>
      <c r="C22" s="57"/>
      <c r="D22" s="57"/>
      <c r="E22" s="71"/>
      <c r="F22" s="71"/>
      <c r="G22" s="72"/>
      <c r="H22" s="57"/>
      <c r="I22" s="73" t="str">
        <f>IF(G22="","",EDATE(G22,IF(H22="",Parámetros!$B$24,H22)))</f>
        <v/>
      </c>
      <c r="J22" s="74" t="str">
        <f t="shared" ca="1" si="0"/>
        <v/>
      </c>
      <c r="K22" s="75" t="str">
        <f>IF(E22="","",IFERROR(INDEX(Catálogo!$E$5:$E$126,MATCH(D22&amp;"|"&amp;E22,Catálogo!$M$5:$M$126,0)),"No encontrado"))</f>
        <v/>
      </c>
      <c r="L22" s="74" t="str">
        <f>IF(E22="","",IFERROR(IF(INDEX(Catálogo!$H$5:$H$126,MATCH(D22&amp;"|"&amp;E22,Catálogo!$M$5:$M$126,0))="","",INDEX(Catálogo!$H$5:$H$126,MATCH(D22&amp;"|"&amp;E22,Catálogo!$M$5:$M$126,0))),""))</f>
        <v/>
      </c>
    </row>
    <row r="23" spans="1:12" x14ac:dyDescent="0.25">
      <c r="A23" s="71"/>
      <c r="B23" s="71"/>
      <c r="C23" s="57"/>
      <c r="D23" s="57"/>
      <c r="E23" s="71"/>
      <c r="F23" s="71"/>
      <c r="G23" s="72"/>
      <c r="H23" s="57"/>
      <c r="I23" s="73" t="str">
        <f>IF(G23="","",EDATE(G23,IF(H23="",Parámetros!$B$24,H23)))</f>
        <v/>
      </c>
      <c r="J23" s="74" t="str">
        <f t="shared" ca="1" si="0"/>
        <v/>
      </c>
      <c r="K23" s="75" t="str">
        <f>IF(E23="","",IFERROR(INDEX(Catálogo!$E$5:$E$126,MATCH(D23&amp;"|"&amp;E23,Catálogo!$M$5:$M$126,0)),"No encontrado"))</f>
        <v/>
      </c>
      <c r="L23" s="74" t="str">
        <f>IF(E23="","",IFERROR(IF(INDEX(Catálogo!$H$5:$H$126,MATCH(D23&amp;"|"&amp;E23,Catálogo!$M$5:$M$126,0))="","",INDEX(Catálogo!$H$5:$H$126,MATCH(D23&amp;"|"&amp;E23,Catálogo!$M$5:$M$126,0))),""))</f>
        <v/>
      </c>
    </row>
    <row r="24" spans="1:12" x14ac:dyDescent="0.25">
      <c r="A24" s="71"/>
      <c r="B24" s="71"/>
      <c r="C24" s="57"/>
      <c r="D24" s="57"/>
      <c r="E24" s="71"/>
      <c r="F24" s="71"/>
      <c r="G24" s="72"/>
      <c r="H24" s="57"/>
      <c r="I24" s="73" t="str">
        <f>IF(G24="","",EDATE(G24,IF(H24="",Parámetros!$B$24,H24)))</f>
        <v/>
      </c>
      <c r="J24" s="74" t="str">
        <f t="shared" ca="1" si="0"/>
        <v/>
      </c>
      <c r="K24" s="75" t="str">
        <f>IF(E24="","",IFERROR(INDEX(Catálogo!$E$5:$E$126,MATCH(D24&amp;"|"&amp;E24,Catálogo!$M$5:$M$126,0)),"No encontrado"))</f>
        <v/>
      </c>
      <c r="L24" s="74" t="str">
        <f>IF(E24="","",IFERROR(IF(INDEX(Catálogo!$H$5:$H$126,MATCH(D24&amp;"|"&amp;E24,Catálogo!$M$5:$M$126,0))="","",INDEX(Catálogo!$H$5:$H$126,MATCH(D24&amp;"|"&amp;E24,Catálogo!$M$5:$M$126,0))),""))</f>
        <v/>
      </c>
    </row>
    <row r="25" spans="1:12" x14ac:dyDescent="0.25">
      <c r="A25" s="71"/>
      <c r="B25" s="71"/>
      <c r="C25" s="57"/>
      <c r="D25" s="57"/>
      <c r="E25" s="71"/>
      <c r="F25" s="71"/>
      <c r="G25" s="72"/>
      <c r="H25" s="57"/>
      <c r="I25" s="73" t="str">
        <f>IF(G25="","",EDATE(G25,IF(H25="",Parámetros!$B$24,H25)))</f>
        <v/>
      </c>
      <c r="J25" s="74" t="str">
        <f t="shared" ca="1" si="0"/>
        <v/>
      </c>
      <c r="K25" s="75" t="str">
        <f>IF(E25="","",IFERROR(INDEX(Catálogo!$E$5:$E$126,MATCH(D25&amp;"|"&amp;E25,Catálogo!$M$5:$M$126,0)),"No encontrado"))</f>
        <v/>
      </c>
      <c r="L25" s="74" t="str">
        <f>IF(E25="","",IFERROR(IF(INDEX(Catálogo!$H$5:$H$126,MATCH(D25&amp;"|"&amp;E25,Catálogo!$M$5:$M$126,0))="","",INDEX(Catálogo!$H$5:$H$126,MATCH(D25&amp;"|"&amp;E25,Catálogo!$M$5:$M$126,0))),""))</f>
        <v/>
      </c>
    </row>
    <row r="26" spans="1:12" x14ac:dyDescent="0.25">
      <c r="A26" s="71"/>
      <c r="B26" s="71"/>
      <c r="C26" s="57"/>
      <c r="D26" s="57"/>
      <c r="E26" s="71"/>
      <c r="F26" s="71"/>
      <c r="G26" s="72"/>
      <c r="H26" s="57"/>
      <c r="I26" s="73" t="str">
        <f>IF(G26="","",EDATE(G26,IF(H26="",Parámetros!$B$24,H26)))</f>
        <v/>
      </c>
      <c r="J26" s="74" t="str">
        <f t="shared" ca="1" si="0"/>
        <v/>
      </c>
      <c r="K26" s="75" t="str">
        <f>IF(E26="","",IFERROR(INDEX(Catálogo!$E$5:$E$126,MATCH(D26&amp;"|"&amp;E26,Catálogo!$M$5:$M$126,0)),"No encontrado"))</f>
        <v/>
      </c>
      <c r="L26" s="74" t="str">
        <f>IF(E26="","",IFERROR(IF(INDEX(Catálogo!$H$5:$H$126,MATCH(D26&amp;"|"&amp;E26,Catálogo!$M$5:$M$126,0))="","",INDEX(Catálogo!$H$5:$H$126,MATCH(D26&amp;"|"&amp;E26,Catálogo!$M$5:$M$126,0))),""))</f>
        <v/>
      </c>
    </row>
    <row r="27" spans="1:12" x14ac:dyDescent="0.25">
      <c r="A27" s="71"/>
      <c r="B27" s="71"/>
      <c r="C27" s="57"/>
      <c r="D27" s="57"/>
      <c r="E27" s="71"/>
      <c r="F27" s="71"/>
      <c r="G27" s="72"/>
      <c r="H27" s="57"/>
      <c r="I27" s="73" t="str">
        <f>IF(G27="","",EDATE(G27,IF(H27="",Parámetros!$B$24,H27)))</f>
        <v/>
      </c>
      <c r="J27" s="74" t="str">
        <f t="shared" ca="1" si="0"/>
        <v/>
      </c>
      <c r="K27" s="75" t="str">
        <f>IF(E27="","",IFERROR(INDEX(Catálogo!$E$5:$E$126,MATCH(D27&amp;"|"&amp;E27,Catálogo!$M$5:$M$126,0)),"No encontrado"))</f>
        <v/>
      </c>
      <c r="L27" s="74" t="str">
        <f>IF(E27="","",IFERROR(IF(INDEX(Catálogo!$H$5:$H$126,MATCH(D27&amp;"|"&amp;E27,Catálogo!$M$5:$M$126,0))="","",INDEX(Catálogo!$H$5:$H$126,MATCH(D27&amp;"|"&amp;E27,Catálogo!$M$5:$M$126,0))),""))</f>
        <v/>
      </c>
    </row>
    <row r="28" spans="1:12" x14ac:dyDescent="0.25">
      <c r="A28" s="71"/>
      <c r="B28" s="71"/>
      <c r="C28" s="57"/>
      <c r="D28" s="57"/>
      <c r="E28" s="71"/>
      <c r="F28" s="71"/>
      <c r="G28" s="72"/>
      <c r="H28" s="57"/>
      <c r="I28" s="73" t="str">
        <f>IF(G28="","",EDATE(G28,IF(H28="",Parámetros!$B$24,H28)))</f>
        <v/>
      </c>
      <c r="J28" s="74" t="str">
        <f t="shared" ca="1" si="0"/>
        <v/>
      </c>
      <c r="K28" s="75" t="str">
        <f>IF(E28="","",IFERROR(INDEX(Catálogo!$E$5:$E$126,MATCH(D28&amp;"|"&amp;E28,Catálogo!$M$5:$M$126,0)),"No encontrado"))</f>
        <v/>
      </c>
      <c r="L28" s="74" t="str">
        <f>IF(E28="","",IFERROR(IF(INDEX(Catálogo!$H$5:$H$126,MATCH(D28&amp;"|"&amp;E28,Catálogo!$M$5:$M$126,0))="","",INDEX(Catálogo!$H$5:$H$126,MATCH(D28&amp;"|"&amp;E28,Catálogo!$M$5:$M$126,0))),""))</f>
        <v/>
      </c>
    </row>
    <row r="29" spans="1:12" x14ac:dyDescent="0.25">
      <c r="A29" s="71"/>
      <c r="B29" s="71"/>
      <c r="C29" s="57"/>
      <c r="D29" s="57"/>
      <c r="E29" s="71"/>
      <c r="F29" s="71"/>
      <c r="G29" s="72"/>
      <c r="H29" s="57"/>
      <c r="I29" s="73" t="str">
        <f>IF(G29="","",EDATE(G29,IF(H29="",Parámetros!$B$24,H29)))</f>
        <v/>
      </c>
      <c r="J29" s="74" t="str">
        <f t="shared" ca="1" si="0"/>
        <v/>
      </c>
      <c r="K29" s="75" t="str">
        <f>IF(E29="","",IFERROR(INDEX(Catálogo!$E$5:$E$126,MATCH(D29&amp;"|"&amp;E29,Catálogo!$M$5:$M$126,0)),"No encontrado"))</f>
        <v/>
      </c>
      <c r="L29" s="74" t="str">
        <f>IF(E29="","",IFERROR(IF(INDEX(Catálogo!$H$5:$H$126,MATCH(D29&amp;"|"&amp;E29,Catálogo!$M$5:$M$126,0))="","",INDEX(Catálogo!$H$5:$H$126,MATCH(D29&amp;"|"&amp;E29,Catálogo!$M$5:$M$126,0))),""))</f>
        <v/>
      </c>
    </row>
    <row r="30" spans="1:12" x14ac:dyDescent="0.25">
      <c r="A30" s="71"/>
      <c r="B30" s="71"/>
      <c r="C30" s="57"/>
      <c r="D30" s="57"/>
      <c r="E30" s="71"/>
      <c r="F30" s="71"/>
      <c r="G30" s="72"/>
      <c r="H30" s="57"/>
      <c r="I30" s="73" t="str">
        <f>IF(G30="","",EDATE(G30,IF(H30="",Parámetros!$B$24,H30)))</f>
        <v/>
      </c>
      <c r="J30" s="74" t="str">
        <f t="shared" ca="1" si="0"/>
        <v/>
      </c>
      <c r="K30" s="75" t="str">
        <f>IF(E30="","",IFERROR(INDEX(Catálogo!$E$5:$E$126,MATCH(D30&amp;"|"&amp;E30,Catálogo!$M$5:$M$126,0)),"No encontrado"))</f>
        <v/>
      </c>
      <c r="L30" s="74" t="str">
        <f>IF(E30="","",IFERROR(IF(INDEX(Catálogo!$H$5:$H$126,MATCH(D30&amp;"|"&amp;E30,Catálogo!$M$5:$M$126,0))="","",INDEX(Catálogo!$H$5:$H$126,MATCH(D30&amp;"|"&amp;E30,Catálogo!$M$5:$M$126,0))),""))</f>
        <v/>
      </c>
    </row>
    <row r="31" spans="1:12" x14ac:dyDescent="0.25">
      <c r="A31" s="71"/>
      <c r="B31" s="71"/>
      <c r="C31" s="57"/>
      <c r="D31" s="57"/>
      <c r="E31" s="71"/>
      <c r="F31" s="71"/>
      <c r="G31" s="72"/>
      <c r="H31" s="57"/>
      <c r="I31" s="73" t="str">
        <f>IF(G31="","",EDATE(G31,IF(H31="",Parámetros!$B$24,H31)))</f>
        <v/>
      </c>
      <c r="J31" s="74" t="str">
        <f t="shared" ca="1" si="0"/>
        <v/>
      </c>
      <c r="K31" s="75" t="str">
        <f>IF(E31="","",IFERROR(INDEX(Catálogo!$E$5:$E$126,MATCH(D31&amp;"|"&amp;E31,Catálogo!$M$5:$M$126,0)),"No encontrado"))</f>
        <v/>
      </c>
      <c r="L31" s="74" t="str">
        <f>IF(E31="","",IFERROR(IF(INDEX(Catálogo!$H$5:$H$126,MATCH(D31&amp;"|"&amp;E31,Catálogo!$M$5:$M$126,0))="","",INDEX(Catálogo!$H$5:$H$126,MATCH(D31&amp;"|"&amp;E31,Catálogo!$M$5:$M$126,0))),""))</f>
        <v/>
      </c>
    </row>
    <row r="32" spans="1:12" x14ac:dyDescent="0.25">
      <c r="A32" s="71"/>
      <c r="B32" s="71"/>
      <c r="C32" s="57"/>
      <c r="D32" s="57"/>
      <c r="E32" s="71"/>
      <c r="F32" s="71"/>
      <c r="G32" s="72"/>
      <c r="H32" s="57"/>
      <c r="I32" s="73" t="str">
        <f>IF(G32="","",EDATE(G32,IF(H32="",Parámetros!$B$24,H32)))</f>
        <v/>
      </c>
      <c r="J32" s="74" t="str">
        <f t="shared" ca="1" si="0"/>
        <v/>
      </c>
      <c r="K32" s="75" t="str">
        <f>IF(E32="","",IFERROR(INDEX(Catálogo!$E$5:$E$126,MATCH(D32&amp;"|"&amp;E32,Catálogo!$M$5:$M$126,0)),"No encontrado"))</f>
        <v/>
      </c>
      <c r="L32" s="74" t="str">
        <f>IF(E32="","",IFERROR(IF(INDEX(Catálogo!$H$5:$H$126,MATCH(D32&amp;"|"&amp;E32,Catálogo!$M$5:$M$126,0))="","",INDEX(Catálogo!$H$5:$H$126,MATCH(D32&amp;"|"&amp;E32,Catálogo!$M$5:$M$126,0))),""))</f>
        <v/>
      </c>
    </row>
    <row r="33" spans="1:12" x14ac:dyDescent="0.25">
      <c r="A33" s="71"/>
      <c r="B33" s="71"/>
      <c r="C33" s="57"/>
      <c r="D33" s="57"/>
      <c r="E33" s="71"/>
      <c r="F33" s="71"/>
      <c r="G33" s="72"/>
      <c r="H33" s="57"/>
      <c r="I33" s="73" t="str">
        <f>IF(G33="","",EDATE(G33,IF(H33="",Parámetros!$B$24,H33)))</f>
        <v/>
      </c>
      <c r="J33" s="74" t="str">
        <f t="shared" ca="1" si="0"/>
        <v/>
      </c>
      <c r="K33" s="75" t="str">
        <f>IF(E33="","",IFERROR(INDEX(Catálogo!$E$5:$E$126,MATCH(D33&amp;"|"&amp;E33,Catálogo!$M$5:$M$126,0)),"No encontrado"))</f>
        <v/>
      </c>
      <c r="L33" s="74" t="str">
        <f>IF(E33="","",IFERROR(IF(INDEX(Catálogo!$H$5:$H$126,MATCH(D33&amp;"|"&amp;E33,Catálogo!$M$5:$M$126,0))="","",INDEX(Catálogo!$H$5:$H$126,MATCH(D33&amp;"|"&amp;E33,Catálogo!$M$5:$M$126,0))),""))</f>
        <v/>
      </c>
    </row>
    <row r="34" spans="1:12" x14ac:dyDescent="0.25">
      <c r="A34" s="71"/>
      <c r="B34" s="71"/>
      <c r="C34" s="57"/>
      <c r="D34" s="57"/>
      <c r="E34" s="71"/>
      <c r="F34" s="71"/>
      <c r="G34" s="72"/>
      <c r="H34" s="57"/>
      <c r="I34" s="73" t="str">
        <f>IF(G34="","",EDATE(G34,IF(H34="",Parámetros!$B$24,H34)))</f>
        <v/>
      </c>
      <c r="J34" s="74" t="str">
        <f t="shared" ca="1" si="0"/>
        <v/>
      </c>
      <c r="K34" s="75" t="str">
        <f>IF(E34="","",IFERROR(INDEX(Catálogo!$E$5:$E$126,MATCH(D34&amp;"|"&amp;E34,Catálogo!$M$5:$M$126,0)),"No encontrado"))</f>
        <v/>
      </c>
      <c r="L34" s="74" t="str">
        <f>IF(E34="","",IFERROR(IF(INDEX(Catálogo!$H$5:$H$126,MATCH(D34&amp;"|"&amp;E34,Catálogo!$M$5:$M$126,0))="","",INDEX(Catálogo!$H$5:$H$126,MATCH(D34&amp;"|"&amp;E34,Catálogo!$M$5:$M$126,0))),""))</f>
        <v/>
      </c>
    </row>
    <row r="36" spans="1:12" x14ac:dyDescent="0.25">
      <c r="A36" s="33" t="s">
        <v>560</v>
      </c>
    </row>
  </sheetData>
  <conditionalFormatting sqref="J5:J34">
    <cfRule type="expression" dxfId="2" priority="2">
      <formula>$J5="Vencida"</formula>
    </cfRule>
    <cfRule type="expression" dxfId="1" priority="3">
      <formula>$J5="Próximos 30 días"</formula>
    </cfRule>
    <cfRule type="expression" dxfId="0" priority="4">
      <formula>$J5="Al día"</formula>
    </cfRule>
  </conditionalFormatting>
  <dataValidations count="3">
    <dataValidation type="list" allowBlank="1" sqref="C5:C34" xr:uid="{00000000-0002-0000-0700-000000000000}">
      <formula1>"Cliente final,Taller,Mayorista"</formula1>
      <formula2>0</formula2>
    </dataValidation>
    <dataValidation type="list" allowBlank="1" sqref="D5:D34" xr:uid="{00000000-0002-0000-0700-000001000000}">
      <formula1>"Suzuki,Yamaha,Mercury,Parsun,Acuáticas"</formula1>
      <formula2>0</formula2>
    </dataValidation>
    <dataValidation type="list" allowBlank="1" sqref="E5:E34" xr:uid="{00000000-0002-0000-0700-000002000000}">
      <formula1>INDIRECT($D5)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C26"/>
  <sheetViews>
    <sheetView showGridLines="0" zoomScaleNormal="100" workbookViewId="0">
      <selection activeCell="B7" sqref="B7"/>
    </sheetView>
  </sheetViews>
  <sheetFormatPr baseColWidth="10" defaultColWidth="8.7109375" defaultRowHeight="15" x14ac:dyDescent="0.25"/>
  <cols>
    <col min="1" max="1" width="58" customWidth="1"/>
    <col min="2" max="2" width="16" customWidth="1"/>
    <col min="3" max="3" width="84" customWidth="1"/>
  </cols>
  <sheetData>
    <row r="1" spans="1:3" ht="23.25" x14ac:dyDescent="0.35">
      <c r="A1" s="27" t="s">
        <v>26</v>
      </c>
    </row>
    <row r="2" spans="1:3" x14ac:dyDescent="0.25">
      <c r="A2" s="14" t="s">
        <v>561</v>
      </c>
    </row>
    <row r="4" spans="1:3" x14ac:dyDescent="0.25">
      <c r="A4" s="76" t="s">
        <v>562</v>
      </c>
      <c r="B4" s="76"/>
      <c r="C4" s="76"/>
    </row>
    <row r="5" spans="1:3" x14ac:dyDescent="0.25">
      <c r="A5" s="18" t="s">
        <v>162</v>
      </c>
      <c r="B5" s="77">
        <v>0.5</v>
      </c>
      <c r="C5" s="78" t="s">
        <v>563</v>
      </c>
    </row>
    <row r="6" spans="1:3" x14ac:dyDescent="0.25">
      <c r="A6" s="18" t="s">
        <v>534</v>
      </c>
      <c r="B6" s="77">
        <v>0</v>
      </c>
      <c r="C6" s="78" t="s">
        <v>564</v>
      </c>
    </row>
    <row r="7" spans="1:3" x14ac:dyDescent="0.25">
      <c r="A7" s="18" t="s">
        <v>565</v>
      </c>
      <c r="B7" s="44">
        <v>100</v>
      </c>
      <c r="C7" s="78" t="s">
        <v>566</v>
      </c>
    </row>
    <row r="9" spans="1:3" x14ac:dyDescent="0.25">
      <c r="A9" s="76" t="s">
        <v>567</v>
      </c>
      <c r="B9" s="76"/>
      <c r="C9" s="76"/>
    </row>
    <row r="10" spans="1:3" x14ac:dyDescent="0.25">
      <c r="A10" s="18" t="s">
        <v>568</v>
      </c>
      <c r="B10" s="77">
        <v>0</v>
      </c>
      <c r="C10" s="78" t="s">
        <v>569</v>
      </c>
    </row>
    <row r="11" spans="1:3" x14ac:dyDescent="0.25">
      <c r="A11" s="18" t="s">
        <v>518</v>
      </c>
      <c r="B11" s="77">
        <v>0.1</v>
      </c>
      <c r="C11" s="78" t="s">
        <v>570</v>
      </c>
    </row>
    <row r="12" spans="1:3" x14ac:dyDescent="0.25">
      <c r="A12" s="18" t="s">
        <v>571</v>
      </c>
      <c r="B12" s="77">
        <v>0.15</v>
      </c>
      <c r="C12" s="78" t="s">
        <v>570</v>
      </c>
    </row>
    <row r="14" spans="1:3" x14ac:dyDescent="0.25">
      <c r="A14" s="76" t="s">
        <v>572</v>
      </c>
      <c r="B14" s="76"/>
      <c r="C14" s="76"/>
    </row>
    <row r="15" spans="1:3" x14ac:dyDescent="0.25">
      <c r="A15" s="18" t="s">
        <v>573</v>
      </c>
      <c r="B15" s="41">
        <v>5</v>
      </c>
      <c r="C15" s="78" t="s">
        <v>574</v>
      </c>
    </row>
    <row r="16" spans="1:3" x14ac:dyDescent="0.25">
      <c r="A16" s="18" t="s">
        <v>575</v>
      </c>
      <c r="B16" s="41">
        <v>3</v>
      </c>
      <c r="C16" s="78" t="s">
        <v>576</v>
      </c>
    </row>
    <row r="18" spans="1:3" x14ac:dyDescent="0.25">
      <c r="A18" s="76" t="s">
        <v>577</v>
      </c>
      <c r="B18" s="76"/>
      <c r="C18" s="76"/>
    </row>
    <row r="19" spans="1:3" x14ac:dyDescent="0.25">
      <c r="A19" s="18" t="s">
        <v>119</v>
      </c>
      <c r="B19" s="41">
        <v>12</v>
      </c>
      <c r="C19" s="78" t="s">
        <v>578</v>
      </c>
    </row>
    <row r="20" spans="1:3" x14ac:dyDescent="0.25">
      <c r="A20" s="18" t="s">
        <v>137</v>
      </c>
      <c r="B20" s="41">
        <v>8</v>
      </c>
      <c r="C20" s="78" t="s">
        <v>570</v>
      </c>
    </row>
    <row r="21" spans="1:3" x14ac:dyDescent="0.25">
      <c r="A21" s="18" t="s">
        <v>579</v>
      </c>
      <c r="B21" s="41">
        <v>4</v>
      </c>
      <c r="C21" s="78" t="s">
        <v>570</v>
      </c>
    </row>
    <row r="23" spans="1:3" x14ac:dyDescent="0.25">
      <c r="A23" s="76" t="s">
        <v>580</v>
      </c>
      <c r="B23" s="76"/>
      <c r="C23" s="76"/>
    </row>
    <row r="24" spans="1:3" ht="24" x14ac:dyDescent="0.25">
      <c r="A24" s="18" t="s">
        <v>581</v>
      </c>
      <c r="B24" s="41">
        <v>12</v>
      </c>
      <c r="C24" s="78" t="s">
        <v>582</v>
      </c>
    </row>
    <row r="26" spans="1:3" x14ac:dyDescent="0.25">
      <c r="A26" s="33" t="s">
        <v>583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Inicio</vt:lpstr>
      <vt:lpstr>Informe</vt:lpstr>
      <vt:lpstr>Plan de ventas</vt:lpstr>
      <vt:lpstr>Consulta</vt:lpstr>
      <vt:lpstr>Catálogo</vt:lpstr>
      <vt:lpstr>Cotizador</vt:lpstr>
      <vt:lpstr>Precios y Stock</vt:lpstr>
      <vt:lpstr>Seguimiento</vt:lpstr>
      <vt:lpstr>Parámetros</vt:lpstr>
      <vt:lpstr>Acuáticas</vt:lpstr>
      <vt:lpstr>Mercury</vt:lpstr>
      <vt:lpstr>Parsun</vt:lpstr>
      <vt:lpstr>Suzuki</vt:lpstr>
      <vt:lpstr>Catálogo!Títulos_a_imprimir</vt:lpstr>
      <vt:lpstr>Yamaha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Dawin Salazar</cp:lastModifiedBy>
  <cp:revision>0</cp:revision>
  <dcterms:created xsi:type="dcterms:W3CDTF">2026-10-12T20:35:54Z</dcterms:created>
  <dcterms:modified xsi:type="dcterms:W3CDTF">2026-10-12T21:24:42Z</dcterms:modified>
  <dc:language>en-US</dc:language>
</cp:coreProperties>
</file>